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3f8db7c8e6432d" /></Relationships>
</file>

<file path=xl/workbook.xml><?xml version="1.0" encoding="utf-8"?>
<x:workbook xmlns:x="http://schemas.openxmlformats.org/spreadsheetml/2006/main">
  <x:sheets>
    <x:sheet xmlns:r="http://schemas.openxmlformats.org/officeDocument/2006/relationships" name="REST Tests" sheetId="1" r:id="R8ecfa5b91e6a4dcb"/>
    <x:sheet xmlns:r="http://schemas.openxmlformats.org/officeDocument/2006/relationships" name="GraphQL Tests" sheetId="2" r:id="Rfeca6bddc80940cf"/>
    <x:sheet xmlns:r="http://schemas.openxmlformats.org/officeDocument/2006/relationships" name="gRPC Tests" sheetId="3" r:id="R940576d98ec644cd"/>
    <x:sheet xmlns:r="http://schemas.openxmlformats.org/officeDocument/2006/relationships" name="SOAP Tests" sheetId="4" r:id="Ra1133751067d4b07"/>
    <x:sheet xmlns:r="http://schemas.openxmlformats.org/officeDocument/2006/relationships" name="Start Here" sheetId="5" r:id="Rb61f1a34e0214ec6"/>
    <x:sheet xmlns:r="http://schemas.openxmlformats.org/officeDocument/2006/relationships" name="Labs &amp; References" sheetId="6" r:id="R3cb12876412149a7"/>
    <x:sheet xmlns:r="http://schemas.openxmlformats.org/officeDocument/2006/relationships" name="Evidence &amp; Report" sheetId="7" r:id="Reb5a5a271208441a"/>
    <x:sheet xmlns:r="http://schemas.openxmlformats.org/officeDocument/2006/relationships" name="Dashboard" sheetId="8" r:id="R3453668c09a9482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8"/>
      <x:color rgb="FFFFFFFF"/>
      <x:name val="Carlito"/>
    </x:font>
    <x:font>
      <x:i/>
      <x:sz val="10"/>
      <x:color rgb="FF667085"/>
      <x:name val="Carlito"/>
    </x:font>
    <x:font>
      <x:sz val="10"/>
      <x:color rgb="FF7A4B00"/>
      <x:name val="Carlito"/>
    </x:font>
    <x:font>
      <x:b/>
      <x:sz val="10"/>
      <x:color rgb="FFFFFFFF"/>
      <x:name val="Carlito"/>
    </x:font>
    <x:font>
      <x:sz val="9"/>
      <x:color rgb="FF172B4D"/>
      <x:name val="Carlito"/>
    </x:font>
    <x:font>
      <x:b/>
      <x:sz val="11"/>
      <x:color rgb="FFFFFFFF"/>
      <x:name val="Carlito"/>
    </x:font>
    <x:font>
      <x:sz val="11"/>
      <x:color rgb="FF172B4D"/>
      <x:name val="Carlito"/>
    </x:font>
    <x:font>
      <x:b/>
      <x:sz val="12"/>
      <x:color rgb="FFFFFFFF"/>
      <x:name val="Carlito"/>
    </x:font>
    <x:font>
      <x:sz val="9"/>
      <x:name val="Carlito"/>
    </x:font>
    <x:font>
      <x:b/>
      <x:sz val="11"/>
      <x:color rgb="FF12304A"/>
      <x:name val="Carlito"/>
    </x:font>
  </x:fonts>
  <x:fills count="7">
    <x:fill>
      <x:patternFill patternType="none"/>
    </x:fill>
    <x:fill>
      <x:patternFill patternType="gray125"/>
    </x:fill>
    <x:fill>
      <x:patternFill patternType="solid">
        <x:fgColor rgb="FF12304A"/>
      </x:patternFill>
    </x:fill>
    <x:fill>
      <x:patternFill patternType="solid">
        <x:fgColor rgb="FFF4F7FA"/>
      </x:patternFill>
    </x:fill>
    <x:fill>
      <x:patternFill patternType="solid">
        <x:fgColor rgb="FFFFF2CC"/>
      </x:patternFill>
    </x:fill>
    <x:fill>
      <x:patternFill patternType="solid">
        <x:fgColor rgb="FF0F766E"/>
      </x:patternFill>
    </x:fill>
    <x:fill>
      <x:patternFill patternType="solid">
        <x:fgColor rgb="FFEAF2F8"/>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13" xfId="0" applyNumberFormat="1" applyFont="1" applyFill="1" applyBorder="1"/>
    <x:xf numFmtId="0" fontId="5" fillId="0" borderId="14" xfId="0" applyNumberFormat="1" applyFont="1" applyFill="1" applyBorder="1"/>
    <x:xf numFmtId="0" fontId="5" fillId="0" borderId="15" xfId="0" applyNumberFormat="1" applyFont="1" applyFill="1" applyBorder="1"/>
    <x:xf numFmtId="0" fontId="5" fillId="0" borderId="16" xfId="0" applyNumberFormat="1" applyFont="1" applyFill="1" applyBorder="1"/>
    <x:xf numFmtId="0" fontId="5" fillId="0" borderId="17" xfId="0" applyNumberFormat="1" applyFont="1" applyFill="1" applyBorder="1"/>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14"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top"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top" wrapText="1"/>
    </x:xf>
    <x:xf numFmtId="0" fontId="8" fillId="2" borderId="0" xfId="0" applyNumberFormat="1" applyFont="1" applyFill="1" applyBorder="1"/>
    <x:xf numFmtId="0" fontId="8" fillId="2" borderId="1" xfId="0" applyNumberFormat="1" applyFont="1" applyFill="1" applyBorder="1"/>
    <x:xf numFmtId="0" fontId="9" fillId="0" borderId="0" xfId="0" applyNumberFormat="1" applyFont="1" applyFill="1" applyBorder="1"/>
    <x:xf numFmtId="0" fontId="9" fillId="0" borderId="8" xfId="0" applyNumberFormat="1" applyFont="1" applyFill="1" applyBorder="1"/>
    <x:xf numFmtId="0" fontId="9" fillId="0" borderId="0" xfId="0" applyNumberFormat="1" applyFont="1" applyFill="1" applyBorder="1" applyAlignment="1">
      <x:alignment wrapText="1"/>
    </x:xf>
    <x:xf numFmtId="0" fontId="9" fillId="0" borderId="8"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8" xfId="0" applyNumberFormat="1" applyFont="1" applyFill="1" applyBorder="1" applyAlignment="1">
      <x:alignment vertical="top" wrapText="1"/>
    </x:xf>
    <x:xf numFmtId="0" fontId="9" fillId="0" borderId="1" xfId="0" applyNumberFormat="1" applyFont="1" applyFill="1" applyBorder="1"/>
    <x:xf numFmtId="0" fontId="9" fillId="0" borderId="16" xfId="0" applyNumberFormat="1" applyFont="1" applyFill="1" applyBorder="1"/>
    <x:xf numFmtId="0" fontId="9" fillId="0" borderId="1" xfId="0" applyNumberFormat="1" applyFont="1" applyFill="1" applyBorder="1" applyAlignment="1">
      <x:alignment wrapText="1"/>
    </x:xf>
    <x:xf numFmtId="0" fontId="9" fillId="0" borderId="16"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0" borderId="16" xfId="0" applyNumberFormat="1" applyFont="1" applyFill="1" applyBorder="1" applyAlignment="1">
      <x:alignment vertical="top" wrapText="1"/>
    </x:xf>
    <x:xf numFmtId="0" fontId="9" fillId="3" borderId="0" xfId="0" applyNumberFormat="1" applyFont="1" applyFill="1" applyBorder="1"/>
    <x:xf numFmtId="0" fontId="9" fillId="3" borderId="8" xfId="0" applyNumberFormat="1" applyFont="1" applyFill="1" applyBorder="1"/>
    <x:xf numFmtId="0" fontId="9" fillId="3" borderId="8" xfId="0" applyNumberFormat="1" applyFont="1" applyFill="1" applyBorder="1" applyAlignment="1">
      <x:alignment wrapText="1"/>
    </x:xf>
    <x:xf numFmtId="0" fontId="9" fillId="3" borderId="8" xfId="0" applyNumberFormat="1" applyFont="1" applyFill="1" applyBorder="1" applyAlignment="1">
      <x:alignment vertical="top" wrapText="1"/>
    </x:xf>
    <x:xf numFmtId="0" fontId="9" fillId="3" borderId="1" xfId="0" applyNumberFormat="1" applyFont="1" applyFill="1" applyBorder="1"/>
    <x:xf numFmtId="0" fontId="9" fillId="3" borderId="16" xfId="0" applyNumberFormat="1" applyFont="1" applyFill="1" applyBorder="1"/>
    <x:xf numFmtId="0" fontId="9" fillId="3" borderId="16" xfId="0" applyNumberFormat="1" applyFont="1" applyFill="1" applyBorder="1" applyAlignment="1">
      <x:alignment wrapText="1"/>
    </x:xf>
    <x:xf numFmtId="0" fontId="9" fillId="3" borderId="16" xfId="0" applyNumberFormat="1" applyFont="1" applyFill="1" applyBorder="1" applyAlignment="1">
      <x:alignment vertical="top" wrapText="1"/>
    </x:xf>
    <x:xf numFmtId="0" fontId="6" fillId="5" borderId="0" xfId="0" applyNumberFormat="1" applyFont="1" applyFill="1" applyBorder="1" applyAlignment="1">
      <x:alignment horizontal="center" wrapText="1"/>
    </x:xf>
    <x:xf numFmtId="0" fontId="6" fillId="5" borderId="0" xfId="0" applyNumberFormat="1" applyFont="1" applyFill="1" applyBorder="1" applyAlignment="1">
      <x:alignment horizontal="center" vertical="center" wrapText="1"/>
    </x:xf>
    <x:xf numFmtId="0" fontId="6" fillId="5" borderId="1" xfId="0" applyNumberFormat="1" applyFont="1" applyFill="1" applyBorder="1" applyAlignment="1">
      <x:alignment horizontal="center" wrapText="1"/>
    </x:xf>
    <x:xf numFmtId="0" fontId="6" fillId="5"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8" xfId="0" applyNumberFormat="1" applyFont="1" applyFill="1" applyBorder="1"/>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16" xfId="0" applyNumberFormat="1" applyFont="1" applyFill="1" applyBorder="1"/>
    <x:xf numFmtId="0" fontId="0" fillId="0" borderId="1"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6" borderId="8" xfId="0" applyNumberFormat="1" applyFont="1" applyFill="1" applyBorder="1" applyAlignment="1">
      <x:alignment vertical="center" wrapText="1"/>
    </x:xf>
    <x:xf numFmtId="0" fontId="10" fillId="6" borderId="8"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10" fillId="6" borderId="16"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10" fillId="6" borderId="8" xfId="0" applyNumberFormat="1" applyFont="1" applyFill="1" applyBorder="1" applyAlignment="1">
      <x:alignment vertical="center" wrapText="1"/>
    </x:xf>
  </x:cellXfs>
  <x:cellStyles count="1">
    <x:cellStyle name="Normal" xfId="0"/>
  </x:cellStyles>
  <x:dxfs count="12">
    <x:dxf>
      <x:font>
        <x:b/>
        <x:color rgb="FF9C0006"/>
      </x:font>
      <x:fill>
        <x:patternFill patternType="solid">
          <x:bgColor rgb="FFFCE8E6"/>
        </x:patternFill>
      </x:fill>
    </x:dxf>
    <x:dxf>
      <x:font>
        <x:b/>
        <x:color rgb="FF006100"/>
      </x:font>
      <x:fill>
        <x:patternFill patternType="solid">
          <x:bgColor rgb="FFE2F0D9"/>
        </x:patternFill>
      </x:fill>
    </x:dxf>
    <x:dxf>
      <x:font>
        <x:b/>
        <x:color rgb="FF7A4B00"/>
      </x:font>
      <x:fill>
        <x:patternFill patternType="solid">
          <x:bgColor rgb="FFFFF2CC"/>
        </x:patternFill>
      </x:fill>
    </x:dxf>
    <x:dxf>
      <x:font>
        <x:b/>
        <x:color rgb="FF9C0006"/>
      </x:font>
      <x:fill>
        <x:patternFill patternType="solid">
          <x:bgColor rgb="FFFCE8E6"/>
        </x:patternFill>
      </x:fill>
    </x:dxf>
    <x:dxf>
      <x:font>
        <x:b/>
        <x:color rgb="FF006100"/>
      </x:font>
      <x:fill>
        <x:patternFill patternType="solid">
          <x:bgColor rgb="FFE2F0D9"/>
        </x:patternFill>
      </x:fill>
    </x:dxf>
    <x:dxf>
      <x:font>
        <x:b/>
        <x:color rgb="FF7A4B00"/>
      </x:font>
      <x:fill>
        <x:patternFill patternType="solid">
          <x:bgColor rgb="FFFFF2CC"/>
        </x:patternFill>
      </x:fill>
    </x:dxf>
    <x:dxf>
      <x:font>
        <x:b/>
        <x:color rgb="FF9C0006"/>
      </x:font>
      <x:fill>
        <x:patternFill patternType="solid">
          <x:bgColor rgb="FFFCE8E6"/>
        </x:patternFill>
      </x:fill>
    </x:dxf>
    <x:dxf>
      <x:font>
        <x:b/>
        <x:color rgb="FF006100"/>
      </x:font>
      <x:fill>
        <x:patternFill patternType="solid">
          <x:bgColor rgb="FFE2F0D9"/>
        </x:patternFill>
      </x:fill>
    </x:dxf>
    <x:dxf>
      <x:font>
        <x:b/>
        <x:color rgb="FF7A4B00"/>
      </x:font>
      <x:fill>
        <x:patternFill patternType="solid">
          <x:bgColor rgb="FFFFF2CC"/>
        </x:patternFill>
      </x:fill>
    </x:dxf>
    <x:dxf>
      <x:font>
        <x:b/>
        <x:color rgb="FF9C0006"/>
      </x:font>
      <x:fill>
        <x:patternFill patternType="solid">
          <x:bgColor rgb="FFFCE8E6"/>
        </x:patternFill>
      </x:fill>
    </x:dxf>
    <x:dxf>
      <x:font>
        <x:b/>
        <x:color rgb="FF006100"/>
      </x:font>
      <x:fill>
        <x:patternFill patternType="solid">
          <x:bgColor rgb="FFE2F0D9"/>
        </x:patternFill>
      </x:fill>
    </x:dxf>
    <x:dxf>
      <x:font>
        <x:b/>
        <x:color rgb="FF7A4B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319e59a81f4246" /><Relationship Type="http://schemas.openxmlformats.org/officeDocument/2006/relationships/theme" Target="/xl/theme/theme1.xml" Id="Rd35c7648430d42de" /><Relationship Type="http://schemas.openxmlformats.org/officeDocument/2006/relationships/sharedStrings" Target="/xl/sharedStrings.xml" Id="Rff0fb2cb3f444a99" /><Relationship Type="http://schemas.openxmlformats.org/officeDocument/2006/relationships/worksheet" Target="/xl/worksheets/sheet1.xml" Id="R8ecfa5b91e6a4dcb" /><Relationship Type="http://schemas.openxmlformats.org/officeDocument/2006/relationships/worksheet" Target="/xl/worksheets/sheet2.xml" Id="Rfeca6bddc80940cf" /><Relationship Type="http://schemas.openxmlformats.org/officeDocument/2006/relationships/worksheet" Target="/xl/worksheets/sheet3.xml" Id="R940576d98ec644cd" /><Relationship Type="http://schemas.openxmlformats.org/officeDocument/2006/relationships/worksheet" Target="/xl/worksheets/sheet4.xml" Id="Ra1133751067d4b07" /><Relationship Type="http://schemas.openxmlformats.org/officeDocument/2006/relationships/worksheet" Target="/xl/worksheets/sheet5.xml" Id="Rb61f1a34e0214ec6" /><Relationship Type="http://schemas.openxmlformats.org/officeDocument/2006/relationships/worksheet" Target="/xl/worksheets/sheet6.xml" Id="R3cb12876412149a7" /><Relationship Type="http://schemas.openxmlformats.org/officeDocument/2006/relationships/worksheet" Target="/xl/worksheets/sheet7.xml" Id="Reb5a5a271208441a" /><Relationship Type="http://schemas.openxmlformats.org/officeDocument/2006/relationships/worksheet" Target="/xl/worksheets/sheet8.xml" Id="R3453668c09a9482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f4c1981799b44c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Test cases by protocol</a:t>
            </a:r>
          </a:p>
        </c:rich>
      </c:tx>
      <c:overlay val="0"/>
    </c:title>
    <c:plotArea>
      <c:barChart>
        <c:barDir val="col"/>
        <c:grouping val="clustered"/>
        <c:varyColors val="0"/>
        <c:ser>
          <c:idx val="0"/>
          <c:order val="0"/>
          <c:tx>
            <c:v>Test Cases</c:v>
          </c:tx>
          <c:cat>
            <c:strRef>
              <c:f>'Dashboard'!$A$5:$A$8</c:f>
              <c:strCache>
                <c:ptCount val="0"/>
              </c:strCache>
            </c:strRef>
          </c:cat>
          <c:val>
            <c:numRef>
              <c:f>'Dashboard'!$B$5:$B$8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3</xdr:row>
      <xdr:rowOff>0</xdr:rowOff>
    </xdr:from>
    <xdr:to>
      <xdr:col>19</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f4c1981799b44c6"/>
        </a:graphicData>
      </a:graphic>
    </xdr:graphicFrame>
    <xdr:clientData/>
  </xdr:twoCellAnchor>
</xdr:wsDr>
</file>

<file path=xl/tables/table1.xml><?xml version="1.0" encoding="utf-8"?>
<x:table xmlns:x="http://schemas.openxmlformats.org/spreadsheetml/2006/main" id="1" name="RESTTestsTable" displayName="RESTTestsTable" ref="A4:O36" headerRowCount="1" totalsRowCount="0" totalsRowShown="0">
  <x:tableColumns count="15">
    <x:tableColumn id="1" name="Test ID"/>
    <x:tableColumn id="2" name="Vulnerability Name"/>
    <x:tableColumn id="3" name="Description / Risk"/>
    <x:tableColumn id="4" name="Prerequisites / Test Data"/>
    <x:tableColumn id="5" name="Hands-on Steps"/>
    <x:tableColumn id="6" name="Example Request / Payload / Command"/>
    <x:tableColumn id="7" name="How to Identify / Validation"/>
    <x:tableColumn id="8" name="Expected Secure Behaviour"/>
    <x:tableColumn id="9" name="Tools"/>
    <x:tableColumn id="10" name="Demo Lab / Target"/>
    <x:tableColumn id="11" name="Evidence to Capture"/>
    <x:tableColumn id="12" name="Source / Reference URL"/>
    <x:tableColumn id="13" name="Status"/>
    <x:tableColumn id="14" name="Finding ID"/>
    <x:tableColumn id="15" name="Tester Notes"/>
  </x:tableColumns>
  <x:tableStyleInfo name="TableStyleMedium2" showFirstColumn="0" showLastColumn="0" showRowStripes="1" showColumnStripes="0"/>
</x:table>
</file>

<file path=xl/tables/table2.xml><?xml version="1.0" encoding="utf-8"?>
<x:table xmlns:x="http://schemas.openxmlformats.org/spreadsheetml/2006/main" id="2" name="GraphQLTestsTable" displayName="GraphQLTestsTable" ref="A4:O26" headerRowCount="1" totalsRowCount="0" totalsRowShown="0">
  <x:tableColumns count="15">
    <x:tableColumn id="1" name="Test ID"/>
    <x:tableColumn id="2" name="Vulnerability Name"/>
    <x:tableColumn id="3" name="Description / Risk"/>
    <x:tableColumn id="4" name="Prerequisites / Test Data"/>
    <x:tableColumn id="5" name="Hands-on Steps"/>
    <x:tableColumn id="6" name="Example Request / Payload / Command"/>
    <x:tableColumn id="7" name="How to Identify / Validation"/>
    <x:tableColumn id="8" name="Expected Secure Behaviour"/>
    <x:tableColumn id="9" name="Tools"/>
    <x:tableColumn id="10" name="Demo Lab / Target"/>
    <x:tableColumn id="11" name="Evidence to Capture"/>
    <x:tableColumn id="12" name="Source / Reference URL"/>
    <x:tableColumn id="13" name="Status"/>
    <x:tableColumn id="14" name="Finding ID"/>
    <x:tableColumn id="15" name="Tester Notes"/>
  </x:tableColumns>
  <x:tableStyleInfo name="TableStyleMedium2" showFirstColumn="0" showLastColumn="0" showRowStripes="1" showColumnStripes="0"/>
</x:table>
</file>

<file path=xl/tables/table3.xml><?xml version="1.0" encoding="utf-8"?>
<x:table xmlns:x="http://schemas.openxmlformats.org/spreadsheetml/2006/main" id="3" name="GRPCTestsTable" displayName="GRPCTestsTable" ref="A4:O22" headerRowCount="1" totalsRowCount="0" totalsRowShown="0">
  <x:tableColumns count="15">
    <x:tableColumn id="1" name="Test ID"/>
    <x:tableColumn id="2" name="Vulnerability Name"/>
    <x:tableColumn id="3" name="Description / Risk"/>
    <x:tableColumn id="4" name="Prerequisites / Test Data"/>
    <x:tableColumn id="5" name="Hands-on Steps"/>
    <x:tableColumn id="6" name="Example Request / Payload / Command"/>
    <x:tableColumn id="7" name="How to Identify / Validation"/>
    <x:tableColumn id="8" name="Expected Secure Behaviour"/>
    <x:tableColumn id="9" name="Tools"/>
    <x:tableColumn id="10" name="Demo Lab / Target"/>
    <x:tableColumn id="11" name="Evidence to Capture"/>
    <x:tableColumn id="12" name="Source / Reference URL"/>
    <x:tableColumn id="13" name="Status"/>
    <x:tableColumn id="14" name="Finding ID"/>
    <x:tableColumn id="15" name="Tester Notes"/>
  </x:tableColumns>
  <x:tableStyleInfo name="TableStyleMedium2" showFirstColumn="0" showLastColumn="0" showRowStripes="1" showColumnStripes="0"/>
</x:table>
</file>

<file path=xl/tables/table4.xml><?xml version="1.0" encoding="utf-8"?>
<x:table xmlns:x="http://schemas.openxmlformats.org/spreadsheetml/2006/main" id="4" name="SOAPTestsTable" displayName="SOAPTestsTable" ref="A4:O24" headerRowCount="1" totalsRowCount="0" totalsRowShown="0">
  <x:tableColumns count="15">
    <x:tableColumn id="1" name="Test ID"/>
    <x:tableColumn id="2" name="Vulnerability Name"/>
    <x:tableColumn id="3" name="Description / Risk"/>
    <x:tableColumn id="4" name="Prerequisites / Test Data"/>
    <x:tableColumn id="5" name="Hands-on Steps"/>
    <x:tableColumn id="6" name="Example Request / Payload / Command"/>
    <x:tableColumn id="7" name="How to Identify / Validation"/>
    <x:tableColumn id="8" name="Expected Secure Behaviour"/>
    <x:tableColumn id="9" name="Tools"/>
    <x:tableColumn id="10" name="Demo Lab / Target"/>
    <x:tableColumn id="11" name="Evidence to Capture"/>
    <x:tableColumn id="12" name="Source / Reference URL"/>
    <x:tableColumn id="13" name="Status"/>
    <x:tableColumn id="14" name="Finding ID"/>
    <x:tableColumn id="15" name="Tester Notes"/>
  </x:tableColumns>
  <x:tableStyleInfo name="TableStyleMedium2" showFirstColumn="0" showLastColumn="0" showRowStripes="1" showColumnStripes="0"/>
</x:table>
</file>

<file path=xl/tables/table5.xml><?xml version="1.0" encoding="utf-8"?>
<x:table xmlns:x="http://schemas.openxmlformats.org/spreadsheetml/2006/main" id="5" name="DemoLabsTable" displayName="DemoLabsTable" ref="A4:F16" headerRowCount="1" totalsRowCount="0" totalsRowShown="0">
  <x:tableColumns count="6">
    <x:tableColumn id="1" name="Protocol"/>
    <x:tableColumn id="2" name="Resource / Lab"/>
    <x:tableColumn id="3" name="Purpose"/>
    <x:tableColumn id="4" name="Local setup / endpoint"/>
    <x:tableColumn id="5" name="Safe-use notes"/>
    <x:tableColumn id="6" name="Source URL"/>
  </x:tableColumns>
  <x:tableStyleInfo name="TableStyleMedium2" showFirstColumn="0" showLastColumn="0" showRowStripes="1" showColumnStripes="0"/>
</x:table>
</file>

<file path=xl/tables/table6.xml><?xml version="1.0" encoding="utf-8"?>
<x:table xmlns:x="http://schemas.openxmlformats.org/spreadsheetml/2006/main" id="6" name="EvidenceRegisterTable" displayName="EvidenceRegisterTable" ref="A4:R5" headerRowCount="1" totalsRowCount="0" totalsRowShown="0">
  <x:tableColumns count="18">
    <x:tableColumn id="1" name="Finding ID"/>
    <x:tableColumn id="2" name="Test ID"/>
    <x:tableColumn id="3" name="Protocol"/>
    <x:tableColumn id="4" name="Vulnerability Name"/>
    <x:tableColumn id="5" name="Severity"/>
    <x:tableColumn id="6" name="Target / Environment"/>
    <x:tableColumn id="7" name="Endpoint / RPC / Operation"/>
    <x:tableColumn id="8" name="Role / Test Identity"/>
    <x:tableColumn id="9" name="Preconditions"/>
    <x:tableColumn id="10" name="Baseline Evidence"/>
    <x:tableColumn id="11" name="Test Request / Payload Ref"/>
    <x:tableColumn id="12" name="Observed Behaviour"/>
    <x:tableColumn id="13" name="Expected Behaviour"/>
    <x:tableColumn id="14" name="Demonstrated Impact"/>
    <x:tableColumn id="15" name="Remediation Recommendation"/>
    <x:tableColumn id="16" name="Evidence File / Burp Ref"/>
    <x:tableColumn id="17" name="Status"/>
    <x:tableColumn id="18" name="Retest Result"/>
  </x:tableColumns>
  <x:tableStyleInfo name="TableStyleMedium2" showFirstColumn="0" showLastColumn="0" showRowStripes="1" showColumnStripes="0"/>
</x:table>
</file>

<file path=xl/tables/table7.xml><?xml version="1.0" encoding="utf-8"?>
<x:table xmlns:x="http://schemas.openxmlformats.org/spreadsheetml/2006/main" id="7" name="DashboardSummaryTable" displayName="DashboardSummaryTable" ref="A4:I9" headerRowCount="1" totalsRowCount="0" totalsRowShown="0">
  <x:tableColumns count="9">
    <x:tableColumn id="1" name="Protocol"/>
    <x:tableColumn id="2" name="Test Cases"/>
    <x:tableColumn id="3" name="Not Started"/>
    <x:tableColumn id="4" name="In Progress"/>
    <x:tableColumn id="5" name="Pass"/>
    <x:tableColumn id="6" name="Fail"/>
    <x:tableColumn id="7" name="Blocked"/>
    <x:tableColumn id="8" name="N/A"/>
    <x:tableColumn id="9" name="Reviewed %"/>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e9bcc7aa594c17" /></Relationships>
</file>

<file path=xl/worksheets/_rels/sheet2.xml.rels>&#65279;<?xml version="1.0" encoding="utf-8"?><Relationships xmlns="http://schemas.openxmlformats.org/package/2006/relationships"><Relationship Type="http://schemas.openxmlformats.org/officeDocument/2006/relationships/table" Target="/xl/tables/table2.xml" Id="R2550804cfe99487f" /></Relationships>
</file>

<file path=xl/worksheets/_rels/sheet3.xml.rels>&#65279;<?xml version="1.0" encoding="utf-8"?><Relationships xmlns="http://schemas.openxmlformats.org/package/2006/relationships"><Relationship Type="http://schemas.openxmlformats.org/officeDocument/2006/relationships/table" Target="/xl/tables/table3.xml" Id="R38f44d91e3654a58" /></Relationships>
</file>

<file path=xl/worksheets/_rels/sheet4.xml.rels>&#65279;<?xml version="1.0" encoding="utf-8"?><Relationships xmlns="http://schemas.openxmlformats.org/package/2006/relationships"><Relationship Type="http://schemas.openxmlformats.org/officeDocument/2006/relationships/table" Target="/xl/tables/table4.xml" Id="R63caee02b50f40fa" /></Relationships>
</file>

<file path=xl/worksheets/_rels/sheet6.xml.rels>&#65279;<?xml version="1.0" encoding="utf-8"?><Relationships xmlns="http://schemas.openxmlformats.org/package/2006/relationships"><Relationship Type="http://schemas.openxmlformats.org/officeDocument/2006/relationships/table" Target="/xl/tables/table5.xml" Id="R6ba9a864b62c4ca0" /></Relationships>
</file>

<file path=xl/worksheets/_rels/sheet7.xml.rels>&#65279;<?xml version="1.0" encoding="utf-8"?><Relationships xmlns="http://schemas.openxmlformats.org/package/2006/relationships"><Relationship Type="http://schemas.openxmlformats.org/officeDocument/2006/relationships/table" Target="/xl/tables/table6.xml" Id="R4ec93d2547414c9e" /></Relationships>
</file>

<file path=xl/worksheets/_rels/sheet8.xml.rels>&#65279;<?xml version="1.0" encoding="utf-8"?><Relationships xmlns="http://schemas.openxmlformats.org/package/2006/relationships"><Relationship Type="http://schemas.openxmlformats.org/officeDocument/2006/relationships/drawing" Target="/xl/drawings/drawing1.xml" Id="R006b25083982451f" /><Relationship Type="http://schemas.openxmlformats.org/officeDocument/2006/relationships/table" Target="/xl/tables/table7.xml" Id="Ra91c2fdbd0b94e04" /></Relationships>
</file>

<file path=xl/worksheets/sheet1.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27" hidden="0" customWidth="1"/>
    <x:col min="3" max="3" width="37" hidden="0" customWidth="1"/>
    <x:col min="4" max="4" width="34" hidden="0" customWidth="1"/>
    <x:col min="5" max="5" width="43" hidden="0" customWidth="1"/>
    <x:col min="6" max="6" width="40" hidden="0" customWidth="1"/>
    <x:col min="7" max="7" width="38" hidden="0" customWidth="1"/>
    <x:col min="8" max="8" width="34" hidden="0" customWidth="1"/>
    <x:col min="9" max="9" width="20" hidden="0" customWidth="1"/>
    <x:col min="10" max="10" width="33" hidden="0" customWidth="1"/>
    <x:col min="11" max="11" width="32" hidden="0" customWidth="1"/>
    <x:col min="12" max="12" width="36" hidden="0" customWidth="1"/>
    <x:col min="13" max="13" width="16" hidden="0" customWidth="1"/>
    <x:col min="14" max="14" width="14" hidden="0" customWidth="1"/>
    <x:col min="15" max="15" width="30" hidden="0" customWidth="1"/>
  </x:cols>
  <x:sheetData>
    <x:row r="1" ht="34" customHeight="1">
      <x:c r="A1" s="5" t="str">
        <x:v>REST API — hands-on security test cases</x:v>
      </x:c>
      <x:c r="B1" s="5"/>
      <x:c r="C1" s="5"/>
      <x:c r="D1" s="5"/>
      <x:c r="E1" s="5"/>
      <x:c r="F1" s="5"/>
      <x:c r="G1" s="5"/>
      <x:c r="H1" s="5"/>
      <x:c r="I1" s="5"/>
      <x:c r="J1" s="5"/>
      <x:c r="K1" s="5"/>
      <x:c r="L1" s="5"/>
      <x:c r="M1" s="5"/>
      <x:c r="N1" s="5"/>
      <x:c r="O1" s="5"/>
    </x:row>
    <x:row r="2" ht="34" customHeight="1">
      <x:c r="A2" s="13" t="str">
        <x:v>32 test cases · OWASP crAPI / VAmPI local labs</x:v>
      </x:c>
      <x:c r="B2" s="13"/>
      <x:c r="C2" s="13"/>
      <x:c r="D2" s="13"/>
      <x:c r="E2" s="13"/>
      <x:c r="F2" s="13"/>
      <x:c r="G2" s="13"/>
      <x:c r="H2" s="13"/>
      <x:c r="I2" s="13"/>
      <x:c r="J2" s="13"/>
      <x:c r="K2" s="13"/>
      <x:c r="L2" s="13"/>
      <x:c r="M2" s="13"/>
      <x:c r="N2" s="13"/>
      <x:c r="O2" s="13"/>
    </x:row>
    <x:row r="3" ht="32" customHeight="1">
      <x:c r="A3" s="21" t="str">
        <x:v>Use only authorized targets. Local-lab examples are intentional training scenarios; placeholders and schema names must be adapted to the running lab. A suspected result is not a confirmed finding until impact is validated.</x:v>
      </x:c>
      <x:c r="B3" s="21"/>
      <x:c r="C3" s="21"/>
      <x:c r="D3" s="21"/>
      <x:c r="E3" s="21"/>
      <x:c r="F3" s="21"/>
      <x:c r="G3" s="21"/>
      <x:c r="H3" s="21"/>
      <x:c r="I3" s="21"/>
      <x:c r="J3" s="21"/>
      <x:c r="K3" s="21"/>
      <x:c r="L3" s="21"/>
      <x:c r="M3" s="21"/>
      <x:c r="N3" s="21"/>
      <x:c r="O3" s="21"/>
    </x:row>
    <x:row r="4" ht="38" customHeight="1">
      <x:c r="A4" s="30" t="str">
        <x:v>Test ID</x:v>
      </x:c>
      <x:c r="B4" s="30" t="str">
        <x:v>Vulnerability Name</x:v>
      </x:c>
      <x:c r="C4" s="30" t="str">
        <x:v>Description / Risk</x:v>
      </x:c>
      <x:c r="D4" s="30" t="str">
        <x:v>Prerequisites / Test Data</x:v>
      </x:c>
      <x:c r="E4" s="30" t="str">
        <x:v>Hands-on Steps</x:v>
      </x:c>
      <x:c r="F4" s="30" t="str">
        <x:v>Example Request / Payload / Command</x:v>
      </x:c>
      <x:c r="G4" s="30" t="str">
        <x:v>How to Identify / Validation</x:v>
      </x:c>
      <x:c r="H4" s="30" t="str">
        <x:v>Expected Secure Behaviour</x:v>
      </x:c>
      <x:c r="I4" s="30" t="str">
        <x:v>Tools</x:v>
      </x:c>
      <x:c r="J4" s="30" t="str">
        <x:v>Demo Lab / Target</x:v>
      </x:c>
      <x:c r="K4" s="30" t="str">
        <x:v>Evidence to Capture</x:v>
      </x:c>
      <x:c r="L4" s="30" t="str">
        <x:v>Source / Reference URL</x:v>
      </x:c>
      <x:c r="M4" s="30" t="str">
        <x:v>Status</x:v>
      </x:c>
      <x:c r="N4" s="30" t="str">
        <x:v>Finding ID</x:v>
      </x:c>
      <x:c r="O4" s="30" t="str">
        <x:v>Tester Notes</x:v>
      </x:c>
    </x:row>
    <x:row r="5" ht="112" customHeight="1">
      <x:c r="A5" s="54" t="str">
        <x:v>REST-01</x:v>
      </x:c>
      <x:c r="B5" s="55" t="str">
        <x:v>API inventory / undocumented endpoints</x:v>
      </x:c>
      <x:c r="C5" s="55" t="str">
        <x:v>Old, shadow, debug or unlisted endpoints may expose unsupported functionality or weak controls.</x:v>
      </x:c>
      <x:c r="D5" s="55" t="str">
        <x:v>Local VAmPI; inspect OpenAPI/Swagger and normal traffic first.</x:v>
      </x:c>
      <x:c r="E5" s="55" t="str">
        <x:v>1) Open VAmPI at http://127.0.0.1:5000/ui/. 2) Export/list documented routes. 3) Compare with Burp HTTP history. 4) Check only documented/approved legacy and debug paths identified in the lab docs.</x:v>
      </x:c>
      <x:c r="F5" s="55" t="str">
        <x:v>GET /users/v1/_debug HTTP/1.1
Host: 127.0.0.1:5000
Use only on local VAmPI.</x:v>
      </x:c>
      <x:c r="G5" s="55" t="str">
        <x:v>Undocumented route works, reveals internal data, or has weaker auth than supported routes. A 200 alone is not automatically a vulnerability.</x:v>
      </x:c>
      <x:c r="H5" s="55" t="str">
        <x:v>Maintain one documented inventory; debug/legacy endpoints removed or protected; same auth policy for all routes.</x:v>
      </x:c>
      <x:c r="I5" s="55" t="str">
        <x:v>Burp Proxy, HTTP history, Repeater; OpenAPI</x:v>
      </x:c>
      <x:c r="J5" s="55" t="str">
        <x:v>VAmPI local lab; /ui/ shows OpenAPI-backed inventory.</x:v>
      </x:c>
      <x:c r="K5" s="55" t="str">
        <x:v>Route list, auth state, sanitized response, comparison with spec.</x:v>
      </x:c>
      <x:c r="L5" s="55" t="str">
        <x:v>https://github.com/erev0s/VAmPI</x:v>
      </x:c>
      <x:c r="M5" s="55" t="str">
        <x:v>Not Started</x:v>
      </x:c>
      <x:c r="N5" s="55" t="str"/>
      <x:c r="O5" s="56" t="str"/>
    </x:row>
    <x:row r="6" ht="112" customHeight="1">
      <x:c r="A6" s="57" t="str">
        <x:v>REST-02</x:v>
      </x:c>
      <x:c r="B6" s="58" t="str">
        <x:v>BOLA / IDOR — unauthorized object read</x:v>
      </x:c>
      <x:c r="C6" s="58" t="str">
        <x:v>API checks that a record exists but not that the authenticated user owns or may read it.</x:v>
      </x:c>
      <x:c r="D6" s="58" t="str">
        <x:v>Create two local VAmPI accounts; create a distinct book/title under User A and record the title.</x:v>
      </x:c>
      <x:c r="E6" s="58" t="str">
        <x:v>1) Login as A; create a book with a unique dummy title. 2) Capture GET /books/v1/{title}. 3) Send the same URL with User B's token. 4) Verify whether B can read A's secret.</x:v>
      </x:c>
      <x:c r="F6" s="58" t="str">
        <x:v>GET /books/v1/DemoBook-A
Authorization: Bearer &lt;USER_B_TOKEN&gt;
Replace route/token with captured lab values.</x:v>
      </x:c>
      <x:c r="G6" s="58" t="str">
        <x:v>User B receives User A's private book secret/data despite no permission; confirm ownership and expected policy.</x:v>
      </x:c>
      <x:c r="H6" s="58" t="str">
        <x:v>Server verifies object ownership/tenant membership before returning the record.</x:v>
      </x:c>
      <x:c r="I6" s="58" t="str">
        <x:v>Burp Repeater; compare A/B sessions</x:v>
      </x:c>
      <x:c r="J6" s="58" t="str">
        <x:v>VAmPI local; book objects are documented as owner-specific in project README.</x:v>
      </x:c>
      <x:c r="K6" s="58" t="str">
        <x:v>A/B baseline, same URL response, test ownership, redacted secret evidence.</x:v>
      </x:c>
      <x:c r="L6" s="58" t="str">
        <x:v>https://github.com/erev0s/VAmPI</x:v>
      </x:c>
      <x:c r="M6" s="58" t="str">
        <x:v>Not Started</x:v>
      </x:c>
      <x:c r="N6" s="58" t="str"/>
      <x:c r="O6" s="59" t="str"/>
    </x:row>
    <x:row r="7" ht="112" customHeight="1">
      <x:c r="A7" s="57" t="str">
        <x:v>REST-03</x:v>
      </x:c>
      <x:c r="B7" s="58" t="str">
        <x:v>BOLA / IDOR — unauthorized object modification</x:v>
      </x:c>
      <x:c r="C7" s="58" t="str">
        <x:v>A user may be able to alter/delete another user's object by changing an identifier.</x:v>
      </x:c>
      <x:c r="D7" s="58" t="str">
        <x:v>Use two lab users and a disposable dummy object; stay within local VAmPI/crAPI.</x:v>
      </x:c>
      <x:c r="E7" s="58" t="str">
        <x:v>1) Capture a harmless update request for A's dummy object. 2) Replay with B's session while keeping object ID unchanged. 3) Verify persisted state using A's account. 4) Do not test destructive actions on real data.</x:v>
      </x:c>
      <x:c r="F7" s="58" t="str">
        <x:v>PUT /&lt;captured-object-route&gt;
Authorization: Bearer &lt;USER_B_TOKEN&gt;
Content-Type: application/json
{"title":"BOLA-test-only"}</x:v>
      </x:c>
      <x:c r="G7" s="58" t="str">
        <x:v>A's object changes when B is not permitted; confirm state changed, not just a success status.</x:v>
      </x:c>
      <x:c r="H7" s="58" t="str">
        <x:v>Ownership and authorization enforced server-side for every read/update/delete.</x:v>
      </x:c>
      <x:c r="I7" s="58" t="str">
        <x:v>Burp Repeater; app UI to verify state</x:v>
      </x:c>
      <x:c r="J7" s="58" t="str">
        <x:v>Local intentionally vulnerable lab only; use disposable object.</x:v>
      </x:c>
      <x:c r="K7" s="58" t="str">
        <x:v>Before/after state, sanitized request/response, A/B account roles.</x:v>
      </x:c>
      <x:c r="L7" s="58" t="str">
        <x:v>https://owasp.org/projects/api-security-project/</x:v>
      </x:c>
      <x:c r="M7" s="58" t="str">
        <x:v>Not Started</x:v>
      </x:c>
      <x:c r="N7" s="58" t="str"/>
      <x:c r="O7" s="59" t="str"/>
    </x:row>
    <x:row r="8" ht="112" customHeight="1">
      <x:c r="A8" s="57" t="str">
        <x:v>REST-04</x:v>
      </x:c>
      <x:c r="B8" s="58" t="str">
        <x:v>BFLA — broken function-level authorization</x:v>
      </x:c>
      <x:c r="C8" s="58" t="str">
        <x:v>A lower-privileged user may invoke admin/support-only functions.</x:v>
      </x:c>
      <x:c r="D8" s="58" t="str">
        <x:v>Two local accounts with clearly different roles; use documented lab operation.</x:v>
      </x:c>
      <x:c r="E8" s="58" t="str">
        <x:v>1) Capture operation as authorized admin in local lab if available. 2) Replay the same operation with regular user's token. 3) Use a read-only or disposable action where possible.</x:v>
      </x:c>
      <x:c r="F8" s="58" t="str">
        <x:v>&lt;captured-admin-request&gt;
Authorization: Bearer &lt;REGULAR_USER_TOKEN&gt;</x:v>
      </x:c>
      <x:c r="G8" s="58" t="str">
        <x:v>Operation succeeds for a role outside the permission matrix; validate actual privileged capability.</x:v>
      </x:c>
      <x:c r="H8" s="58" t="str">
        <x:v>Role/permission check is applied on server side to every function and HTTP method.</x:v>
      </x:c>
      <x:c r="I8" s="58" t="str">
        <x:v>Burp Repeater</x:v>
      </x:c>
      <x:c r="J8" s="58" t="str">
        <x:v>VAmPI local (`DELETE /users/v1/{username}` is documented as admin-only; use disposable lab account).</x:v>
      </x:c>
      <x:c r="K8" s="58" t="str">
        <x:v>Role matrix, request, response, observed effect.</x:v>
      </x:c>
      <x:c r="L8" s="58" t="str">
        <x:v>https://github.com/erev0s/VAmPI</x:v>
      </x:c>
      <x:c r="M8" s="58" t="str">
        <x:v>Not Started</x:v>
      </x:c>
      <x:c r="N8" s="58" t="str"/>
      <x:c r="O8" s="59" t="str"/>
    </x:row>
    <x:row r="9" ht="112" customHeight="1">
      <x:c r="A9" s="57" t="str">
        <x:v>REST-05</x:v>
      </x:c>
      <x:c r="B9" s="58" t="str">
        <x:v>Excessive data exposure</x:v>
      </x:c>
      <x:c r="C9" s="58" t="str">
        <x:v>Response returns password hashes, secrets, tokens, internal attributes or fields the role does not need.</x:v>
      </x:c>
      <x:c r="D9" s="58" t="str">
        <x:v>Use local VAmPI; inspect safe sample-user responses and debug routes.</x:v>
      </x:c>
      <x:c r="E9" s="58" t="str">
        <x:v>1) Compare normal `/users/v1` response with `/users/v1/_debug`. 2) Inspect fields for hashes/secrets/internal data. 3) Confirm whether the endpoint is documented and intended for that role.</x:v>
      </x:c>
      <x:c r="F9" s="58" t="str">
        <x:v>GET /users/v1/_debug
Host: 127.0.0.1:5000</x:v>
      </x:c>
      <x:c r="G9" s="58" t="str">
        <x:v>Sensitive attributes appear in a response to an unauthorized or ordinary user; note field-level impact.</x:v>
      </x:c>
      <x:c r="H9" s="58" t="str">
        <x:v>Return only necessary fields; debug endpoints not exposed in production; sensitive secrets never serialized.</x:v>
      </x:c>
      <x:c r="I9" s="58" t="str">
        <x:v>Burp Repeater / HTTP history</x:v>
      </x:c>
      <x:c r="J9" s="58" t="str">
        <x:v>VAmPI local lab; debug exposure is one documented scenario.</x:v>
      </x:c>
      <x:c r="K9" s="58" t="str">
        <x:v>Redacted JSON showing field names and role/route; never publish actual secrets.</x:v>
      </x:c>
      <x:c r="L9" s="58" t="str">
        <x:v>https://github.com/erev0s/VAmPI</x:v>
      </x:c>
      <x:c r="M9" s="58" t="str">
        <x:v>Not Started</x:v>
      </x:c>
      <x:c r="N9" s="58" t="str"/>
      <x:c r="O9" s="59" t="str"/>
    </x:row>
    <x:row r="10" ht="112" customHeight="1">
      <x:c r="A10" s="57" t="str">
        <x:v>REST-06</x:v>
      </x:c>
      <x:c r="B10" s="58" t="str">
        <x:v>Mass assignment / writable property abuse</x:v>
      </x:c>
      <x:c r="C10" s="58" t="str">
        <x:v>Server binds client-supplied fields directly to privileged model properties.</x:v>
      </x:c>
      <x:c r="D10" s="58" t="str">
        <x:v>Use local lab account and a disposable object; learn valid schema first.</x:v>
      </x:c>
      <x:c r="E10" s="58" t="str">
        <x:v>1) Capture normal create/update body. 2) Add one plausible protected field at a time (e.g., `role`, `isAdmin`, `ownerId`, `price`). 3) Submit once in local lab. 4) Re-fetch and compare persisted fields.</x:v>
      </x:c>
      <x:c r="F10" s="58" t="str">
        <x:v>{"title":"DemoBook-B","secret":"dummy","isAdmin":true}
Use only a field that exists in the lab schema.</x:v>
      </x:c>
      <x:c r="G10" s="58" t="str">
        <x:v>Protected field persists or changes security-sensitive state without authorized workflow.</x:v>
      </x:c>
      <x:c r="H10" s="58" t="str">
        <x:v>Use allowlisted DTO/schema; server ignores/rejects unauthorized properties and derives owner/role from identity.</x:v>
      </x:c>
      <x:c r="I10" s="58" t="str">
        <x:v>Burp Repeater</x:v>
      </x:c>
      <x:c r="J10" s="58" t="str">
        <x:v>VAmPI local lab is documented to include mass-assignment scenarios; actual fields depend on version.</x:v>
      </x:c>
      <x:c r="K10" s="58" t="str">
        <x:v>Baseline vs modified body, persisted before/after state.</x:v>
      </x:c>
      <x:c r="L10" s="58" t="str">
        <x:v>https://github.com/erev0s/VAmPI</x:v>
      </x:c>
      <x:c r="M10" s="58" t="str">
        <x:v>Not Started</x:v>
      </x:c>
      <x:c r="N10" s="58" t="str"/>
      <x:c r="O10" s="59" t="str"/>
    </x:row>
    <x:row r="11" ht="112" customHeight="1">
      <x:c r="A11" s="57" t="str">
        <x:v>REST-07</x:v>
      </x:c>
      <x:c r="B11" s="58" t="str">
        <x:v>Missing authentication on protected route</x:v>
      </x:c>
      <x:c r="C11" s="58" t="str">
        <x:v>Protected resources may be accessible without a valid identity.</x:v>
      </x:c>
      <x:c r="D11" s="58" t="str">
        <x:v>Know one protected read endpoint in local VAmPI/crAPI.</x:v>
      </x:c>
      <x:c r="E11" s="58" t="str">
        <x:v>1) Capture valid request. 2) Remove Authorization header/cookie. 3) Repeat with a random invalid token. 4) Compare body and data returned.</x:v>
      </x:c>
      <x:c r="F11" s="58" t="str">
        <x:v>GET /me
Host: 127.0.0.1:5000
Repeat without Authorization.</x:v>
      </x:c>
      <x:c r="G11" s="58" t="str">
        <x:v>Protected data/function succeeds with no valid credential; public endpoints should be assessed against policy, not assumed protected.</x:v>
      </x:c>
      <x:c r="H11" s="58" t="str">
        <x:v>Protected endpoint denies anonymous/invalid credentials, typically 401/403 or documented equivalent.</x:v>
      </x:c>
      <x:c r="I11" s="58" t="str">
        <x:v>Burp Repeater</x:v>
      </x:c>
      <x:c r="J11" s="58" t="str">
        <x:v>VAmPI local `/me`; otherwise use an approved protected endpoint.</x:v>
      </x:c>
      <x:c r="K11" s="58" t="str">
        <x:v>Valid vs missing vs invalid-token responses.</x:v>
      </x:c>
      <x:c r="L11" s="58" t="str">
        <x:v>https://cheatsheetseries.owasp.org/cheatsheets/REST_Assessment_Cheat_Sheet.html</x:v>
      </x:c>
      <x:c r="M11" s="58" t="str">
        <x:v>Not Started</x:v>
      </x:c>
      <x:c r="N11" s="58" t="str"/>
      <x:c r="O11" s="59" t="str"/>
    </x:row>
    <x:row r="12" ht="112" customHeight="1">
      <x:c r="A12" s="57" t="str">
        <x:v>REST-08</x:v>
      </x:c>
      <x:c r="B12" s="58" t="str">
        <x:v>Expired / revoked token accepted</x:v>
      </x:c>
      <x:c r="C12" s="58" t="str">
        <x:v>Expired or revoked credentials can leave a session valid beyond policy.</x:v>
      </x:c>
      <x:c r="D12" s="58" t="str">
        <x:v>Use local lab/test identity; set short token TTL only in lab if configurable.</x:v>
      </x:c>
      <x:c r="E12" s="58" t="str">
        <x:v>1) Login and capture token. 2) Wait past expiry or revoke/logout as supported. 3) Replay one harmless protected GET. 4) Do not brute-force or test real user tokens.</x:v>
      </x:c>
      <x:c r="F12" s="58" t="str">
        <x:v>GET /me
Authorization: Bearer &lt;EXPIRED_TEST_TOKEN&gt;</x:v>
      </x:c>
      <x:c r="G12" s="58" t="str">
        <x:v>Expired/revoked token still returns protected data after documented expiration/revocation point.</x:v>
      </x:c>
      <x:c r="H12" s="58" t="str">
        <x:v>Validate exp and revocation/session state according to defined policy; refresh tokens separately and securely.</x:v>
      </x:c>
      <x:c r="I12" s="58" t="str">
        <x:v>Burp Repeater; lab token settings</x:v>
      </x:c>
      <x:c r="J12" s="58" t="str">
        <x:v>Local VAmPI supports configurable token lifetime; do not change production configuration.</x:v>
      </x:c>
      <x:c r="K12" s="58" t="str">
        <x:v>Token issue time/expiry, time of replay, response and policy expectation.</x:v>
      </x:c>
      <x:c r="L12" s="58" t="str">
        <x:v>https://github.com/erev0s/VAmPI</x:v>
      </x:c>
      <x:c r="M12" s="58" t="str">
        <x:v>Not Started</x:v>
      </x:c>
      <x:c r="N12" s="58" t="str"/>
      <x:c r="O12" s="59" t="str"/>
    </x:row>
    <x:row r="13" ht="112" customHeight="1">
      <x:c r="A13" s="57" t="str">
        <x:v>REST-09</x:v>
      </x:c>
      <x:c r="B13" s="58" t="str">
        <x:v>JWT signature / claim validation</x:v>
      </x:c>
      <x:c r="C13" s="58" t="str">
        <x:v>Incorrect signature, issuer, audience, expiry or algorithm handling may allow token forgery or cross-service token reuse.</x:v>
      </x:c>
      <x:c r="D13" s="58" t="str">
        <x:v>Use only a local vulnerable lab specifically configured for JWT tests and a dummy token.</x:v>
      </x:c>
      <x:c r="E13" s="58" t="str">
        <x:v>1) Capture test JWT. 2) Use a JWT editor only to create a modified test token. 3) Change a non-sensitive claim or signature without valid signing key. 4) Send once to harmless `/me`. Do not target production.</x:v>
      </x:c>
      <x:c r="F13" s="58" t="str">
        <x:v>Authorization: Bearer &lt;MODIFIED_TEST_JWT&gt;
Change `sub` or `exp` in a lab token without re-signing.</x:v>
      </x:c>
      <x:c r="G13" s="58" t="str">
        <x:v>Server accepts tampered claims or wrong issuer/audience/invalid signature as authenticated identity.</x:v>
      </x:c>
      <x:c r="H13" s="58" t="str">
        <x:v>Strict algorithm allowlist; verify signature, issuer, audience, expiry and intended token use.</x:v>
      </x:c>
      <x:c r="I13" s="58" t="str">
        <x:v>Burp Repeater; approved JWT editor</x:v>
      </x:c>
      <x:c r="J13" s="58" t="str">
        <x:v>VAmPI local vulnerable configuration or a dedicated JWT training lab.</x:v>
      </x:c>
      <x:c r="K13" s="58" t="str">
        <x:v>Original vs modified token claims (redacted), response and lab configuration.</x:v>
      </x:c>
      <x:c r="L13" s="58" t="str">
        <x:v>https://github.com/erev0s/VAmPI</x:v>
      </x:c>
      <x:c r="M13" s="58" t="str">
        <x:v>Not Started</x:v>
      </x:c>
      <x:c r="N13" s="58" t="str"/>
      <x:c r="O13" s="59" t="str"/>
    </x:row>
    <x:row r="14" ht="112" customHeight="1">
      <x:c r="A14" s="57" t="str">
        <x:v>REST-10</x:v>
      </x:c>
      <x:c r="B14" s="58" t="str">
        <x:v>API key / token in URL or leakage</x:v>
      </x:c>
      <x:c r="C14" s="58" t="str">
        <x:v>Credentials in query strings may leak into logs, browser history, referrers and monitoring.</x:v>
      </x:c>
      <x:c r="D14" s="58" t="str">
        <x:v>Inspect captured traffic and app docs; no active exploitation required.</x:v>
      </x:c>
      <x:c r="E14" s="58" t="str">
        <x:v>1) Search local Burp history and documentation for `api_key`, `token`, `access_token`. 2) Check whether secrets are placed in query strings. 3) Inspect redirects/errors only in test data.</x:v>
      </x:c>
      <x:c r="F14" s="58" t="str">
        <x:v>GET /api/resource?access_token=&lt;REDACTED&gt;
Pattern example only; do not use a real token in a URL.</x:v>
      </x:c>
      <x:c r="G14" s="58" t="str">
        <x:v>Credential appears in URL, redirect Location, errors, or ordinary logs where it is unnecessarily retained.</x:v>
      </x:c>
      <x:c r="H14" s="58" t="str">
        <x:v>Use Authorization header or secure mechanism; redact secrets in logs; short-lived least-privilege tokens.</x:v>
      </x:c>
      <x:c r="I14" s="58" t="str">
        <x:v>Burp HTTP history, app/log review</x:v>
      </x:c>
      <x:c r="J14" s="58" t="str">
        <x:v>Any owned API or local lab; passive review is preferred.</x:v>
      </x:c>
      <x:c r="K14" s="58" t="str">
        <x:v>Sanitized URL/header, location where token leaked, no secret values.</x:v>
      </x:c>
      <x:c r="L14" s="58" t="str">
        <x:v>https://cheatsheetseries.owasp.org/cheatsheets/REST_Assessment_Cheat_Sheet.html</x:v>
      </x:c>
      <x:c r="M14" s="58" t="str">
        <x:v>Not Started</x:v>
      </x:c>
      <x:c r="N14" s="58" t="str"/>
      <x:c r="O14" s="59" t="str"/>
    </x:row>
    <x:row r="15" ht="112" customHeight="1">
      <x:c r="A15" s="57" t="str">
        <x:v>REST-11</x:v>
      </x:c>
      <x:c r="B15" s="58" t="str">
        <x:v>HTTP method / route-level authorization mismatch</x:v>
      </x:c>
      <x:c r="C15" s="58" t="str">
        <x:v>The same route may enforce permission for GET but not PATCH/DELETE, or an alternate method may bypass policy.</x:v>
      </x:c>
      <x:c r="D15" s="58" t="str">
        <x:v>Use a local disposable object and documented methods.</x:v>
      </x:c>
      <x:c r="E15" s="58" t="str">
        <x:v>1) Capture the authorized read request. 2) Test documented methods only with a low-privileged user and a disposable record. 3) Compare allowed-method policy and response.</x:v>
      </x:c>
      <x:c r="F15" s="58" t="str">
        <x:v>OPTIONS /&lt;approved-route&gt;
Then test documented GET/PATCH with role-specific tokens; avoid destructive verbs on shared targets.</x:v>
      </x:c>
      <x:c r="G15" s="58" t="str">
        <x:v>An unauthorized method changes state or discloses data despite the role policy.</x:v>
      </x:c>
      <x:c r="H15" s="58" t="str">
        <x:v>Every method and route independently enforce authorization; unsupported methods return a consistent safe response.</x:v>
      </x:c>
      <x:c r="I15" s="58" t="str">
        <x:v>Burp Repeater</x:v>
      </x:c>
      <x:c r="J15" s="58" t="str">
        <x:v>Local VAmPI/crAPI, controlled dummy objects only.</x:v>
      </x:c>
      <x:c r="K15" s="58" t="str">
        <x:v>Method, role, response and proof of state change if any.</x:v>
      </x:c>
      <x:c r="L15" s="58" t="str">
        <x:v>https://cheatsheetseries.owasp.org/cheatsheets/REST_Assessment_Cheat_Sheet.html</x:v>
      </x:c>
      <x:c r="M15" s="58" t="str">
        <x:v>Not Started</x:v>
      </x:c>
      <x:c r="N15" s="58" t="str"/>
      <x:c r="O15" s="59" t="str"/>
    </x:row>
    <x:row r="16" ht="112" customHeight="1">
      <x:c r="A16" s="57" t="str">
        <x:v>REST-12</x:v>
      </x:c>
      <x:c r="B16" s="58" t="str">
        <x:v>SQL injection</x:v>
      </x:c>
      <x:c r="C16" s="58" t="str">
        <x:v>Untrusted input may alter a database query instead of being treated as data.</x:v>
      </x:c>
      <x:c r="D16" s="58" t="str">
        <x:v>Use only local vulnerable VAmPI or another explicit SQLi training lab; choose a search/path parameter.</x:v>
      </x:c>
      <x:c r="E16" s="58" t="str">
        <x:v>1) Send baseline input. 2) Try a harmless quote marker (`'`) and compare errors/behaviour. 3) In the isolated lab, use a simple boolean differential such as `test' AND '1'='1` vs `test' AND '1'='2`. 4) Stop at confirmation; do not dump data.</x:v>
      </x:c>
      <x:c r="F16" s="58" t="str">
        <x:v>GET /books/v1/test%27
Local-lab-only differential examples: `test' AND '1'='1` vs `test' AND '1'='2`. Adapt to the actual parameter.</x:v>
      </x:c>
      <x:c r="G16" s="58" t="str">
        <x:v>Repeatable response/content difference or SQL error tied to payload; verify not ordinary validation. Do not enumerate/exfiltrate.</x:v>
      </x:c>
      <x:c r="H16" s="58" t="str">
        <x:v>Parameterized queries; strict type validation; generic client errors.</x:v>
      </x:c>
      <x:c r="I16" s="58" t="str">
        <x:v>Burp Repeater; VAmPI local vulnerable mode</x:v>
      </x:c>
      <x:c r="J16" s="58" t="str">
        <x:v>VAmPI deliberately includes SQLi; follow the lab's endpoint and reset instructions.</x:v>
      </x:c>
      <x:c r="K16" s="58" t="str">
        <x:v>Baseline/true/false responses, parameter, timing if relevant; no data dump.</x:v>
      </x:c>
      <x:c r="L16" s="58" t="str">
        <x:v>https://github.com/erev0s/VAmPI</x:v>
      </x:c>
      <x:c r="M16" s="58" t="str">
        <x:v>Not Started</x:v>
      </x:c>
      <x:c r="N16" s="58" t="str"/>
      <x:c r="O16" s="59" t="str"/>
    </x:row>
    <x:row r="17" ht="112" customHeight="1">
      <x:c r="A17" s="57" t="str">
        <x:v>REST-13</x:v>
      </x:c>
      <x:c r="B17" s="58" t="str">
        <x:v>NoSQL/operator injection / type confusion</x:v>
      </x:c>
      <x:c r="C17" s="58" t="str">
        <x:v>JSON operators or object values can be interpreted as query operators when scalar values are expected.</x:v>
      </x:c>
      <x:c r="D17" s="58" t="str">
        <x:v>Use local lab endpoint that queries a NoSQL backend; verify tech stack first.</x:v>
      </x:c>
      <x:c r="E17" s="58" t="str">
        <x:v>1) Capture normal JSON login/search request. 2) Replace a string field with an object such as `{"$ne":null}` only in a dedicated NoSQL lab. 3) Observe whether validation rejects type mismatch or auth behaviour changes.</x:v>
      </x:c>
      <x:c r="F17" s="58" t="str">
        <x:v>{"username":{"$ne":null},"password":{"$ne":null}}
Only in a local NoSQL-injection lab; not a generic payload for all APIs.</x:v>
      </x:c>
      <x:c r="G17" s="58" t="str">
        <x:v>Unexpected authentication success or query result attributable to operator interpretation; correlate with known stack and controls.</x:v>
      </x:c>
      <x:c r="H17" s="58" t="str">
        <x:v>Schema enforces scalar types; use parameterized query APIs and never treat client JSON as query syntax.</x:v>
      </x:c>
      <x:c r="I17" s="58" t="str">
        <x:v>Burp Repeater</x:v>
      </x:c>
      <x:c r="J17" s="58" t="str">
        <x:v>Dedicated local NoSQL training lab; VAmPI is not necessarily a NoSQL lab.</x:v>
      </x:c>
      <x:c r="K17" s="58" t="str">
        <x:v>Baseline vs altered JSON, status/body differences and verified test account.</x:v>
      </x:c>
      <x:c r="L17" s="58" t="str">
        <x:v>https://owasp.org/projects/api-security-project/</x:v>
      </x:c>
      <x:c r="M17" s="58" t="str">
        <x:v>Not Started</x:v>
      </x:c>
      <x:c r="N17" s="58" t="str"/>
      <x:c r="O17" s="59" t="str"/>
    </x:row>
    <x:row r="18" ht="112" customHeight="1">
      <x:c r="A18" s="57" t="str">
        <x:v>REST-14</x:v>
      </x:c>
      <x:c r="B18" s="58" t="str">
        <x:v>SSRF in URL-fetch / webhook / import feature</x:v>
      </x:c>
      <x:c r="C18" s="58" t="str">
        <x:v>Server fetches a user-supplied URL without sufficient destination controls.</x:v>
      </x:c>
      <x:c r="D18" s="58" t="str">
        <x:v>Identify a documented URL-fetch callback feature in a local lab; set up a harmless listener you control.</x:v>
      </x:c>
      <x:c r="E18" s="58" t="str">
        <x:v>1) Capture normal URL field. 2) Replace with a benign URL served by your own local test listener. 3) Check whether the server makes the request. 4) Do not target cloud metadata, loopback services or internal production IPs.</x:v>
      </x:c>
      <x:c r="F18" s="58" t="str">
        <x:v>{"callbackUrl":"http://&lt;YOUR-CONTROLLED-LAB-HOST&gt;:8080/canary"}
Use only a listener you own and a dedicated local lab.</x:v>
      </x:c>
      <x:c r="G18" s="58" t="str">
        <x:v>Your listener receives a request initiated by the server, proving server-side fetch; validate scope and actual impact.</x:v>
      </x:c>
      <x:c r="H18" s="58" t="str">
        <x:v>Allowlist destinations; block internal/link-local ranges at network layer; restrict redirects and protocols.</x:v>
      </x:c>
      <x:c r="I18" s="58" t="str">
        <x:v>Burp Repeater + local HTTP listener</x:v>
      </x:c>
      <x:c r="J18" s="58" t="str">
        <x:v>Local SSRF lab or owned app with test callback feature.</x:v>
      </x:c>
      <x:c r="K18" s="58" t="str">
        <x:v>Listener log with timestamp, request ID and sanitized test URL.</x:v>
      </x:c>
      <x:c r="L18" s="58" t="str">
        <x:v>https://owasp.org/projects/api-security-project/</x:v>
      </x:c>
      <x:c r="M18" s="58" t="str">
        <x:v>Not Started</x:v>
      </x:c>
      <x:c r="N18" s="58" t="str"/>
      <x:c r="O18" s="59" t="str"/>
    </x:row>
    <x:row r="19" ht="112" customHeight="1">
      <x:c r="A19" s="57" t="str">
        <x:v>REST-15</x:v>
      </x:c>
      <x:c r="B19" s="58" t="str">
        <x:v>Schema / type / boundary validation</x:v>
      </x:c>
      <x:c r="C19" s="58" t="str">
        <x:v>Missing or weak server-side validation allows unexpected type, null, size or range values.</x:v>
      </x:c>
      <x:c r="D19" s="58" t="str">
        <x:v>Use OpenAPI/Postman schema; find a harmless field with known type/range.</x:v>
      </x:c>
      <x:c r="E19" s="58" t="str">
        <x:v>1) Send normal request. 2) Mutate one condition at a time: missing required field, `null`, wrong type, empty string, negative/out-of-range value, unknown field. 3) Keep payload small.</x:v>
      </x:c>
      <x:c r="F19" s="58" t="str">
        <x:v>{"quantity":"not-a-number"}
{"quantity":-1}
Use on a disposable local object.</x:v>
      </x:c>
      <x:c r="G19" s="58" t="str">
        <x:v>Server accepts invalid state or crashes/leaks errors; a 4xx validation message is usually expected.</x:v>
      </x:c>
      <x:c r="H19" s="58" t="str">
        <x:v>Server enforces schema, range and business invariants; validation errors are safe and consistent.</x:v>
      </x:c>
      <x:c r="I19" s="58" t="str">
        <x:v>Burp Repeater; OpenAPI schema</x:v>
      </x:c>
      <x:c r="J19" s="58" t="str">
        <x:v>VAmPI/crAPI local or company staging with dummy data.</x:v>
      </x:c>
      <x:c r="K19" s="58" t="str">
        <x:v>Baseline and each invalid case, status, response and persisted-state check.</x:v>
      </x:c>
      <x:c r="L19" s="58" t="str">
        <x:v>https://cheatsheetseries.owasp.org/cheatsheets/REST_Assessment_Cheat_Sheet.html</x:v>
      </x:c>
      <x:c r="M19" s="58" t="str">
        <x:v>Not Started</x:v>
      </x:c>
      <x:c r="N19" s="58" t="str"/>
      <x:c r="O19" s="59" t="str"/>
    </x:row>
    <x:row r="20" ht="112" customHeight="1">
      <x:c r="A20" s="57" t="str">
        <x:v>REST-16</x:v>
      </x:c>
      <x:c r="B20" s="58" t="str">
        <x:v>Content-Type / parser confusion</x:v>
      </x:c>
      <x:c r="C20" s="58" t="str">
        <x:v>Endpoint may parse unexpected MIME types or multiple encodings differently and bypass validation.</x:v>
      </x:c>
      <x:c r="D20" s="58" t="str">
        <x:v>Use a local harmless endpoint accepting JSON; consult documented supported content types.</x:v>
      </x:c>
      <x:c r="E20" s="58" t="str">
        <x:v>1) Replay valid request. 2) Change Content-Type to an unsupported value. 3) Try an alternate documented type only if supported. 4) Compare parsing and authorization behaviour.</x:v>
      </x:c>
      <x:c r="F20" s="58" t="str">
        <x:v>Content-Type: text/plain
Body stays the captured dummy JSON; do not add parser exploit payloads.</x:v>
      </x:c>
      <x:c r="G20" s="58" t="str">
        <x:v>Unsupported body is processed inconsistently or bypasses validation/security controls.</x:v>
      </x:c>
      <x:c r="H20" s="58" t="str">
        <x:v>Reject unsupported content types and apply identical auth/validation after parsing.</x:v>
      </x:c>
      <x:c r="I20" s="58" t="str">
        <x:v>Burp Repeater</x:v>
      </x:c>
      <x:c r="J20" s="58" t="str">
        <x:v>Local lab or approved staging.</x:v>
      </x:c>
      <x:c r="K20" s="58" t="str">
        <x:v>Header changes, response, evidence of different processing if any.</x:v>
      </x:c>
      <x:c r="L20" s="58" t="str">
        <x:v>https://cheatsheetseries.owasp.org/cheatsheets/REST_Assessment_Cheat_Sheet.html</x:v>
      </x:c>
      <x:c r="M20" s="58" t="str">
        <x:v>Not Started</x:v>
      </x:c>
      <x:c r="N20" s="58" t="str"/>
      <x:c r="O20" s="59" t="str"/>
    </x:row>
    <x:row r="21" ht="112" customHeight="1">
      <x:c r="A21" s="57" t="str">
        <x:v>REST-17</x:v>
      </x:c>
      <x:c r="B21" s="58" t="str">
        <x:v>CORS misconfiguration</x:v>
      </x:c>
      <x:c r="C21" s="58" t="str">
        <x:v>Overly broad origins or credentialed cross-origin access can expose responses to untrusted sites.</x:v>
      </x:c>
      <x:c r="D21" s="58" t="str">
        <x:v>Review browser CORS behaviour using a test account; use only non-sensitive test endpoint.</x:v>
      </x:c>
      <x:c r="E21" s="58" t="str">
        <x:v>1) Send OPTIONS preflight with a controlled test Origin. 2) Request the endpoint with Origin header. 3) Inspect Allow-Origin, Allow-Credentials and allowed methods/headers. 4) Test a random origin without credentials first.</x:v>
      </x:c>
      <x:c r="F21" s="58" t="str">
        <x:v>Origin: https://untrusted.example.test
Access-Control-Request-Method: GET</x:v>
      </x:c>
      <x:c r="G21" s="58" t="str">
        <x:v>API reflects arbitrary origin or combines wildcard/credentials in a way that permits unintended authenticated cross-origin reads.</x:v>
      </x:c>
      <x:c r="H21" s="58" t="str">
        <x:v>Allow only intended origins; credentials only for explicit trusted origins; CORS is not a substitute for auth.</x:v>
      </x:c>
      <x:c r="I21" s="58" t="str">
        <x:v>Burp Repeater / browser console</x:v>
      </x:c>
      <x:c r="J21" s="58" t="str">
        <x:v>Owned staging endpoint; no real customer data.</x:v>
      </x:c>
      <x:c r="K21" s="58" t="str">
        <x:v>Request Origin and relevant response CORS headers, endpoint sensitivity.</x:v>
      </x:c>
      <x:c r="L21" s="58" t="str">
        <x:v>https://cheatsheetseries.owasp.org/cheatsheets/REST_Assessment_Cheat_Sheet.html</x:v>
      </x:c>
      <x:c r="M21" s="58" t="str">
        <x:v>Not Started</x:v>
      </x:c>
      <x:c r="N21" s="58" t="str"/>
      <x:c r="O21" s="59" t="str"/>
    </x:row>
    <x:row r="22" ht="112" customHeight="1">
      <x:c r="A22" s="57" t="str">
        <x:v>REST-18</x:v>
      </x:c>
      <x:c r="B22" s="58" t="str">
        <x:v>TLS / transport security</x:v>
      </x:c>
      <x:c r="C22" s="58" t="str">
        <x:v>Weak or missing transport protections expose credentials/data in transit.</x:v>
      </x:c>
      <x:c r="D22" s="58" t="str">
        <x:v>Use approved staging host; no downgrade attempt outside scope.</x:v>
      </x:c>
      <x:c r="E22" s="58" t="str">
        <x:v>1) Verify HTTPS URL and certificate chain. 2) Check redirect from HTTP to HTTPS if HTTP is in scope. 3) Review supported TLS/certificate configuration using approved internal tooling.</x:v>
      </x:c>
      <x:c r="F22" s="58" t="str">
        <x:v>https://&lt;approved-staging-host&gt;/api/health
No exploit payload required.</x:v>
      </x:c>
      <x:c r="G22" s="58" t="str">
        <x:v>Invalid certificates, insecure plaintext endpoint, or sensitive API accessible without required TLS.</x:v>
      </x:c>
      <x:c r="H22" s="58" t="str">
        <x:v>Enforce HTTPS, validate certificates, modern TLS configuration, and secure internal transport.</x:v>
      </x:c>
      <x:c r="I22" s="58" t="str">
        <x:v>Browser/Burp TLS details; approved TLS checker</x:v>
      </x:c>
      <x:c r="J22" s="58" t="str">
        <x:v>Company staging; gRPC TLS lab for gRPC-specific checks.</x:v>
      </x:c>
      <x:c r="K22" s="58" t="str">
        <x:v>Certificate details, TLS version/cipher evidence, scope confirmation.</x:v>
      </x:c>
      <x:c r="L22" s="58" t="str">
        <x:v>https://cheatsheetseries.owasp.org/cheatsheets/REST_Assessment_Cheat_Sheet.html</x:v>
      </x:c>
      <x:c r="M22" s="58" t="str">
        <x:v>Not Started</x:v>
      </x:c>
      <x:c r="N22" s="58" t="str"/>
      <x:c r="O22" s="59" t="str"/>
    </x:row>
    <x:row r="23" ht="112" customHeight="1">
      <x:c r="A23" s="57" t="str">
        <x:v>REST-19</x:v>
      </x:c>
      <x:c r="B23" s="58" t="str">
        <x:v>Pagination / bulk data overexposure</x:v>
      </x:c>
      <x:c r="C23" s="58" t="str">
        <x:v>Unbounded page size or bulk endpoints may return excessive records or sensitive data.</x:v>
      </x:c>
      <x:c r="D23" s="58" t="str">
        <x:v>Use list/search endpoint and synthetic data; do not load test.</x:v>
      </x:c>
      <x:c r="E23" s="58" t="str">
        <x:v>1) Capture default page. 2) Test documented small boundary values and an unusually high but modest limit (e.g. 100). 3) Check whether maximum cap is enforced.</x:v>
      </x:c>
      <x:c r="F23" s="58" t="str">
        <x:v>GET /&lt;list-route&gt;?limit=100
Replace with the captured route; stay within lab limits.</x:v>
      </x:c>
      <x:c r="G23" s="58" t="str">
        <x:v>Response exceeds documented cap or returns data the role should not see; check server-side cap and field filtering.</x:v>
      </x:c>
      <x:c r="H23" s="58" t="str">
        <x:v>Enforce server-side max page size, pagination, field minimization and authorization.</x:v>
      </x:c>
      <x:c r="I23" s="58" t="str">
        <x:v>Burp Repeater</x:v>
      </x:c>
      <x:c r="J23" s="58" t="str">
        <x:v>Local lab or approved staging.</x:v>
      </x:c>
      <x:c r="K23" s="58" t="str">
        <x:v>Default vs boundary responses, item count, policy max.</x:v>
      </x:c>
      <x:c r="L23" s="58" t="str">
        <x:v>https://owasp.org/projects/api-security-project/</x:v>
      </x:c>
      <x:c r="M23" s="58" t="str">
        <x:v>Not Started</x:v>
      </x:c>
      <x:c r="N23" s="58" t="str"/>
      <x:c r="O23" s="59" t="str"/>
    </x:row>
    <x:row r="24" ht="112" customHeight="1">
      <x:c r="A24" s="57" t="str">
        <x:v>REST-20</x:v>
      </x:c>
      <x:c r="B24" s="58" t="str">
        <x:v>Rate limiting / unrestricted resource use</x:v>
      </x:c>
      <x:c r="C24" s="58" t="str">
        <x:v>Lack of limits on expensive or sensitive endpoints can permit abuse or unexpected cost.</x:v>
      </x:c>
      <x:c r="D24" s="58" t="str">
        <x:v>Only approved low-volume test, written window; use a harmless GET or designated test endpoint.</x:v>
      </x:c>
      <x:c r="E24" s="58" t="str">
        <x:v>1) Check documented limits. 2) Send a small, controlled sequence (for example 5–10 requests) at a normal pace. 3) Observe limit headers or 429; stop on latency/errors. Never run stress/DoS test without separate approval.</x:v>
      </x:c>
      <x:c r="F24" s="58" t="str">
        <x:v>Repeat one harmless GET 5–10 times slowly in Repeater/Turbo Intruder only if specifically approved; otherwise inspect headers/docs.</x:v>
      </x:c>
      <x:c r="G24" s="58" t="str">
        <x:v>No effective limits for high-risk route is a hypothesis; prove policy gap without causing load.</x:v>
      </x:c>
      <x:c r="H24" s="58" t="str">
        <x:v>Per-user/IP/client limits, quotas, backoff, monitoring and graceful 429 responses.</x:v>
      </x:c>
      <x:c r="I24" s="58" t="str">
        <x:v>Burp Repeater; no high-volume Intruder run</x:v>
      </x:c>
      <x:c r="J24" s="58" t="str">
        <x:v>Local or staging only; low-rate testing with approval.</x:v>
      </x:c>
      <x:c r="K24" s="58" t="str">
        <x:v>Request count/rate, limit headers/status, service health observation.</x:v>
      </x:c>
      <x:c r="L24" s="58" t="str">
        <x:v>https://owasp.org/projects/api-security-project/</x:v>
      </x:c>
      <x:c r="M24" s="58" t="str">
        <x:v>Not Started</x:v>
      </x:c>
      <x:c r="N24" s="58" t="str"/>
      <x:c r="O24" s="59" t="str"/>
    </x:row>
    <x:row r="25" ht="112" customHeight="1">
      <x:c r="A25" s="57" t="str">
        <x:v>REST-21</x:v>
      </x:c>
      <x:c r="B25" s="58" t="str">
        <x:v>Business workflow / state-transition bypass</x:v>
      </x:c>
      <x:c r="C25" s="58" t="str">
        <x:v>A user may skip required workflow steps or alter server-managed state.</x:v>
      </x:c>
      <x:c r="D25" s="58" t="str">
        <x:v>Use disposable order/booking/account in local lab and document valid workflow first.</x:v>
      </x:c>
      <x:c r="E25" s="58" t="str">
        <x:v>1) Perform normal flow and map states. 2) Attempt one invalid transition using own dummy object (e.g. cancel before creation or approve as requester). 3) Verify final state.</x:v>
      </x:c>
      <x:c r="F25" s="58" t="str">
        <x:v>PATCH /&lt;dummy-order&gt;/status
{"status":"approved"}
Illustrative only; use the actual route/schema.</x:v>
      </x:c>
      <x:c r="G25" s="58" t="str">
        <x:v>Server accepts an invalid transition or trusts client-supplied state/role.</x:v>
      </x:c>
      <x:c r="H25" s="58" t="str">
        <x:v>Enforce state machine and authorization server-side; derive status from allowed transitions.</x:v>
      </x:c>
      <x:c r="I25" s="58" t="str">
        <x:v>Burp Repeater + application UI</x:v>
      </x:c>
      <x:c r="J25" s="58" t="str">
        <x:v>Local business-workflow lab or approved test account.</x:v>
      </x:c>
      <x:c r="K25" s="58" t="str">
        <x:v>Valid workflow vs invalid transition request and resulting state.</x:v>
      </x:c>
      <x:c r="L25" s="58" t="str">
        <x:v>https://owasp.org/projects/api-security-project/</x:v>
      </x:c>
      <x:c r="M25" s="58" t="str">
        <x:v>Not Started</x:v>
      </x:c>
      <x:c r="N25" s="58" t="str"/>
      <x:c r="O25" s="59" t="str"/>
    </x:row>
    <x:row r="26" ht="112" customHeight="1">
      <x:c r="A26" s="57" t="str">
        <x:v>REST-22</x:v>
      </x:c>
      <x:c r="B26" s="58" t="str">
        <x:v>Replay / duplicate transaction</x:v>
      </x:c>
      <x:c r="C26" s="58" t="str">
        <x:v>Repeated requests may execute a one-time action more than once.</x:v>
      </x:c>
      <x:c r="D26" s="58" t="str">
        <x:v>Use a mock/dummy action designed for repeat testing; do not use real payment/email/SMS.</x:v>
      </x:c>
      <x:c r="E26" s="58" t="str">
        <x:v>1) Capture a safe create/submit action. 2) Replay it once with same idempotency key/request. 3) Verify whether duplicate records/effects occur. 4) Stop; no high repetition.</x:v>
      </x:c>
      <x:c r="F26" s="58" t="str">
        <x:v>POST /&lt;dummy-action&gt;
Idempotency-Key: lab-order-001
Use only an operation designed for test replay.</x:v>
      </x:c>
      <x:c r="G26" s="58" t="str">
        <x:v>Duplicate business effect occurs where system promises idempotency or single-use semantics.</x:v>
      </x:c>
      <x:c r="H26" s="58" t="str">
        <x:v>Use idempotency keys, uniqueness constraints, replay protection and consistent processing.</x:v>
      </x:c>
      <x:c r="I26" s="58" t="str">
        <x:v>Burp Repeater</x:v>
      </x:c>
      <x:c r="J26" s="58" t="str">
        <x:v>Local lab or sandbox with no real-world side effects.</x:v>
      </x:c>
      <x:c r="K26" s="58" t="str">
        <x:v>Before/after record count, two responses, idempotency policy.</x:v>
      </x:c>
      <x:c r="L26" s="58" t="str">
        <x:v>https://owasp.org/projects/api-security-project/</x:v>
      </x:c>
      <x:c r="M26" s="58" t="str">
        <x:v>Not Started</x:v>
      </x:c>
      <x:c r="N26" s="58" t="str"/>
      <x:c r="O26" s="59" t="str"/>
    </x:row>
    <x:row r="27" ht="112" customHeight="1">
      <x:c r="A27" s="57" t="str">
        <x:v>REST-23</x:v>
      </x:c>
      <x:c r="B27" s="58" t="str">
        <x:v>Password reset / OTP flow weaknesses</x:v>
      </x:c>
      <x:c r="C27" s="58" t="str">
        <x:v>Weak verification or missing rate controls can permit account recovery abuse.</x:v>
      </x:c>
      <x:c r="D27" s="58" t="str">
        <x:v>Use only two self-created lab accounts and test OTPs; no brute force.</x:v>
      </x:c>
      <x:c r="E27" s="58" t="str">
        <x:v>1) Map request/verify/reset steps. 2) Attempt missing/expired/reused OTP once each. 3) Check token is bound to intended account and purpose. 4) Check documented lockout policy without repeated guessing.</x:v>
      </x:c>
      <x:c r="F27" s="58" t="str">
        <x:v>POST /&lt;lab-reset-verify&gt;
{"user":"testerA","otp":"&lt;expired-test-otp&gt;"}</x:v>
      </x:c>
      <x:c r="G27" s="58" t="str">
        <x:v>Expired/reused OTP succeeds, token can reset another account, or account identity can be swapped at a stage.</x:v>
      </x:c>
      <x:c r="H27" s="58" t="str">
        <x:v>Short-lived single-use OTPs, account/purpose binding, attempt limits, uniform responses and audit logging.</x:v>
      </x:c>
      <x:c r="I27" s="58" t="str">
        <x:v>Burp Repeater</x:v>
      </x:c>
      <x:c r="J27" s="58" t="str">
        <x:v>Dedicated local account-recovery lab only.</x:v>
      </x:c>
      <x:c r="K27" s="58" t="str">
        <x:v>State sequence, test identities, expiry/reuse result; never include actual OTP.</x:v>
      </x:c>
      <x:c r="L27" s="58" t="str">
        <x:v>https://owasp.org/projects/api-security-project/</x:v>
      </x:c>
      <x:c r="M27" s="58" t="str">
        <x:v>Not Started</x:v>
      </x:c>
      <x:c r="N27" s="58" t="str"/>
      <x:c r="O27" s="59" t="str"/>
    </x:row>
    <x:row r="28" ht="112" customHeight="1">
      <x:c r="A28" s="57" t="str">
        <x:v>REST-24</x:v>
      </x:c>
      <x:c r="B28" s="58" t="str">
        <x:v>File upload validation (API endpoint)</x:v>
      </x:c>
      <x:c r="C28" s="58" t="str">
        <x:v>Weak validation can allow unsafe file types, oversized data or content-type spoofing.</x:v>
      </x:c>
      <x:c r="D28" s="58" t="str">
        <x:v>Use a local lab upload feature and harmless tiny test files only.</x:v>
      </x:c>
      <x:c r="E28" s="58" t="str">
        <x:v>1) Upload an allowed benign text/image file. 2) Change filename extension and MIME type independently. 3) Test a small invalid signature file. 4) Do not upload executable/malware payloads.</x:v>
      </x:c>
      <x:c r="F28" s="58" t="str">
        <x:v>Content-Disposition: form-data; name="file"; filename="test.txt"
Content-Type: text/plain
API_TEST_MARKER</x:v>
      </x:c>
      <x:c r="G28" s="58" t="str">
        <x:v>Server relies only on client MIME/extension or stores unsafe content in an executable/public location.</x:v>
      </x:c>
      <x:c r="H28" s="58" t="str">
        <x:v>Validate allowlisted types using content inspection; size limits; safe storage; random names; no execution.</x:v>
      </x:c>
      <x:c r="I28" s="58" t="str">
        <x:v>Burp Repeater / Proxy</x:v>
      </x:c>
      <x:c r="J28" s="58" t="str">
        <x:v>Local upload lab, dummy files only.</x:v>
      </x:c>
      <x:c r="K28" s="58" t="str">
        <x:v>Original and changed filename/MIME, response, stored-file behavior.</x:v>
      </x:c>
      <x:c r="L28" s="58" t="str">
        <x:v>https://owasp.org/projects/api-security-project/</x:v>
      </x:c>
      <x:c r="M28" s="58" t="str">
        <x:v>Not Started</x:v>
      </x:c>
      <x:c r="N28" s="58" t="str"/>
      <x:c r="O28" s="59" t="str"/>
    </x:row>
    <x:row r="29" ht="112" customHeight="1">
      <x:c r="A29" s="57" t="str">
        <x:v>REST-25</x:v>
      </x:c>
      <x:c r="B29" s="58" t="str">
        <x:v>Verbose errors / stack trace leakage</x:v>
      </x:c>
      <x:c r="C29" s="58" t="str">
        <x:v>Detailed errors may reveal frameworks, paths, database names, queries or secrets.</x:v>
      </x:c>
      <x:c r="D29" s="58" t="str">
        <x:v>Use harmless malformed input in local lab or approved staging.</x:v>
      </x:c>
      <x:c r="E29" s="58" t="str">
        <x:v>1) Send malformed JSON or wrong type once. 2) Trigger a documented validation error. 3) Inspect response body and headers for stack trace or internal details.</x:v>
      </x:c>
      <x:c r="F29" s="58" t="str">
        <x:v>POST /&lt;captured-route&gt;
Content-Type: application/json
{"field":</x:v>
      </x:c>
      <x:c r="G29" s="58" t="str">
        <x:v>Stack trace, filesystem path, SQL text, connection string or secrets returned to client.</x:v>
      </x:c>
      <x:c r="H29" s="58" t="str">
        <x:v>Return generic error and correlation ID; keep detailed diagnostics in protected server logs.</x:v>
      </x:c>
      <x:c r="I29" s="58" t="str">
        <x:v>Burp Repeater</x:v>
      </x:c>
      <x:c r="J29" s="58" t="str">
        <x:v>Local lab or staging with harmless invalid input.</x:v>
      </x:c>
      <x:c r="K29" s="58" t="str">
        <x:v>Redacted error output and triggering request.</x:v>
      </x:c>
      <x:c r="L29" s="58" t="str">
        <x:v>https://cheatsheetseries.owasp.org/cheatsheets/REST_Assessment_Cheat_Sheet.html</x:v>
      </x:c>
      <x:c r="M29" s="58" t="str">
        <x:v>Not Started</x:v>
      </x:c>
      <x:c r="N29" s="58" t="str"/>
      <x:c r="O29" s="59" t="str"/>
    </x:row>
    <x:row r="30" ht="112" customHeight="1">
      <x:c r="A30" s="57" t="str">
        <x:v>REST-26</x:v>
      </x:c>
      <x:c r="B30" s="58" t="str">
        <x:v>Unsafe third-party API / webhook consumption</x:v>
      </x:c>
      <x:c r="C30" s="58" t="str">
        <x:v>The application may trust external callback payloads, redirects or response fields without verification.</x:v>
      </x:c>
      <x:c r="D30" s="58" t="str">
        <x:v>Use a mock webhook sender/receiver and a local endpoint owned by you.</x:v>
      </x:c>
      <x:c r="E30" s="58" t="str">
        <x:v>1) Send valid test webhook per contract. 2) Change a non-sensitive field or signature using dummy secret. 3) Replay a stale event once. 4) Observe whether state changes.</x:v>
      </x:c>
      <x:c r="F30" s="58" t="str">
        <x:v>X-Signature: invalid-test-signature
{"eventId":"lab-001","type":"OrderCreated"}</x:v>
      </x:c>
      <x:c r="G30" s="58" t="str">
        <x:v>Invalid signature or stale event causes a trusted state change; validate actual business impact.</x:v>
      </x:c>
      <x:c r="H30" s="58" t="str">
        <x:v>Verify signature, timestamp, event ID and schema; idempotent processing; trust external data as untrusted input.</x:v>
      </x:c>
      <x:c r="I30" s="58" t="str">
        <x:v>Burp Repeater; webhook mock</x:v>
      </x:c>
      <x:c r="J30" s="58" t="str">
        <x:v>Local mock/integration sandbox only.</x:v>
      </x:c>
      <x:c r="K30" s="58" t="str">
        <x:v>Valid vs invalid signature result, event ID and state before/after.</x:v>
      </x:c>
      <x:c r="L30" s="58" t="str">
        <x:v>https://owasp.org/projects/api-security-project/</x:v>
      </x:c>
      <x:c r="M30" s="58" t="str">
        <x:v>Not Started</x:v>
      </x:c>
      <x:c r="N30" s="58" t="str"/>
      <x:c r="O30" s="59" t="str"/>
    </x:row>
    <x:row r="31" ht="112" customHeight="1">
      <x:c r="A31" s="57" t="str">
        <x:v>REST-27</x:v>
      </x:c>
      <x:c r="B31" s="58" t="str">
        <x:v>Tenant isolation failure</x:v>
      </x:c>
      <x:c r="C31" s="58" t="str">
        <x:v>Multi-tenant APIs may validate user but not tenant membership.</x:v>
      </x:c>
      <x:c r="D31" s="58" t="str">
        <x:v>Use two tenants/accounts with dummy data and known tenant IDs.</x:v>
      </x:c>
      <x:c r="E31" s="58" t="str">
        <x:v>1) Access own tenant record normally. 2) Replay with other tenant's test record identifier/tenant parameter. 3) Verify no data or action crosses tenant boundary.</x:v>
      </x:c>
      <x:c r="F31" s="58" t="str">
        <x:v>GET /&lt;captured-resource&gt;?tenantId=&lt;TENANT_B_TEST_ID&gt;
Authorization: Bearer &lt;TENANT_A_TOKEN&gt;</x:v>
      </x:c>
      <x:c r="G31" s="58" t="str">
        <x:v>Cross-tenant private data or state is returned/changed without membership.</x:v>
      </x:c>
      <x:c r="H31" s="58" t="str">
        <x:v>Derive tenant from authenticated context and enforce it on every object/query.</x:v>
      </x:c>
      <x:c r="I31" s="58" t="str">
        <x:v>Burp Repeater</x:v>
      </x:c>
      <x:c r="J31" s="58" t="str">
        <x:v>Local multi-tenant lab or two approved staging tenants.</x:v>
      </x:c>
      <x:c r="K31" s="58" t="str">
        <x:v>Tenant A/B identities, sanitized responses, ownership mapping.</x:v>
      </x:c>
      <x:c r="L31" s="58" t="str">
        <x:v>https://owasp.org/projects/api-security-project/</x:v>
      </x:c>
      <x:c r="M31" s="58" t="str">
        <x:v>Not Started</x:v>
      </x:c>
      <x:c r="N31" s="58" t="str"/>
      <x:c r="O31" s="59" t="str"/>
    </x:row>
    <x:row r="32" ht="112" customHeight="1">
      <x:c r="A32" s="57" t="str">
        <x:v>REST-28</x:v>
      </x:c>
      <x:c r="B32" s="58" t="str">
        <x:v>Sensitive response caching</x:v>
      </x:c>
      <x:c r="C32" s="58" t="str">
        <x:v>Shared/intermediary caches may store private API responses and serve them to another user.</x:v>
      </x:c>
      <x:c r="D32" s="58" t="str">
        <x:v>Use harmless private test record; inspect Cache-Control/Vary headers and application proxy behaviour.</x:v>
      </x:c>
      <x:c r="E32" s="58" t="str">
        <x:v>1) Request own private record with User A. 2) Inspect cache headers. 3) Repeat as User B through same approved test path. 4) Do not use real data or shared production caches.</x:v>
      </x:c>
      <x:c r="F32" s="58" t="str">
        <x:v>GET /&lt;private-test-resource&gt;
Authorization: Bearer &lt;USER_A_TOKEN&gt;</x:v>
      </x:c>
      <x:c r="G32" s="58" t="str">
        <x:v>Sensitive response appears in shared cache or is served to User B due to cache-key/control flaw.</x:v>
      </x:c>
      <x:c r="H32" s="58" t="str">
        <x:v>Set appropriate `Cache-Control: no-store/private`; configure caches not to mix identities.</x:v>
      </x:c>
      <x:c r="I32" s="58" t="str">
        <x:v>Burp Repeater + response headers</x:v>
      </x:c>
      <x:c r="J32" s="58" t="str">
        <x:v>Owned staging environment only.</x:v>
      </x:c>
      <x:c r="K32" s="58" t="str">
        <x:v>Cache headers and A/B response comparison.</x:v>
      </x:c>
      <x:c r="L32" s="58" t="str">
        <x:v>https://cheatsheetseries.owasp.org/cheatsheets/REST_Assessment_Cheat_Sheet.html</x:v>
      </x:c>
      <x:c r="M32" s="58" t="str">
        <x:v>Not Started</x:v>
      </x:c>
      <x:c r="N32" s="58" t="str"/>
      <x:c r="O32" s="59" t="str"/>
    </x:row>
    <x:row r="33" ht="112" customHeight="1">
      <x:c r="A33" s="57" t="str">
        <x:v>REST-29</x:v>
      </x:c>
      <x:c r="B33" s="58" t="str">
        <x:v>Open redirect in callback / return URL</x:v>
      </x:c>
      <x:c r="C33" s="58" t="str">
        <x:v>User-controlled redirect targets may send users to untrusted sites or assist OAuth/payment flows.</x:v>
      </x:c>
      <x:c r="D33" s="58" t="str">
        <x:v>Find a documented redirect/returnUrl parameter in local lab.</x:v>
      </x:c>
      <x:c r="E33" s="58" t="str">
        <x:v>1) Capture valid flow using a same-origin destination. 2) Change it to `https://example.invalid/return-test` (reserved non-working domain). 3) Observe Location header without following it.</x:v>
      </x:c>
      <x:c r="F33" s="58" t="str">
        <x:v>GET /&lt;route&gt;?returnUrl=https%3A%2F%2Fexample.invalid%2Freturn-test</x:v>
      </x:c>
      <x:c r="G33" s="58" t="str">
        <x:v>Server issues redirect to untrusted origin without policy; assess user impact and flow context.</x:v>
      </x:c>
      <x:c r="H33" s="58" t="str">
        <x:v>Allowlist exact approved destinations or use server-side opaque state IDs.</x:v>
      </x:c>
      <x:c r="I33" s="58" t="str">
        <x:v>Burp Repeater</x:v>
      </x:c>
      <x:c r="J33" s="58" t="str">
        <x:v>Local redirect test endpoint only.</x:v>
      </x:c>
      <x:c r="K33" s="58" t="str">
        <x:v>Request, Location header, allowlist policy.</x:v>
      </x:c>
      <x:c r="L33" s="58" t="str">
        <x:v>https://owasp.org/projects/api-security-project/</x:v>
      </x:c>
      <x:c r="M33" s="58" t="str">
        <x:v>Not Started</x:v>
      </x:c>
      <x:c r="N33" s="58" t="str"/>
      <x:c r="O33" s="59" t="str"/>
    </x:row>
    <x:row r="34" ht="112" customHeight="1">
      <x:c r="A34" s="57" t="str">
        <x:v>REST-30</x:v>
      </x:c>
      <x:c r="B34" s="58" t="str">
        <x:v>Client-controlled price / ownership / privilege</x:v>
      </x:c>
      <x:c r="C34" s="58" t="str">
        <x:v>Business-critical fields such as price, owner, discount or role must not be trusted from the client.</x:v>
      </x:c>
      <x:c r="D34" s="58" t="str">
        <x:v>Create a disposable item/order in a local business-logic lab.</x:v>
      </x:c>
      <x:c r="E34" s="58" t="str">
        <x:v>1) Capture normal request. 2) Alter only one security-sensitive field (price, ownerId, discount) in a local disposable object. 3) Verify server-side computed result.</x:v>
      </x:c>
      <x:c r="F34" s="58" t="str">
        <x:v>{"productId":"TEST-1","quantity":1,"price":0.01}
Illustrative only; use owned sandbox transaction.</x:v>
      </x:c>
      <x:c r="G34" s="58" t="str">
        <x:v>Server accepts client-controlled price/owner/discount and the change affects business state.</x:v>
      </x:c>
      <x:c r="H34" s="58" t="str">
        <x:v>Calculate critical values server-side and bind ownership to authenticated identity.</x:v>
      </x:c>
      <x:c r="I34" s="58" t="str">
        <x:v>Burp Repeater</x:v>
      </x:c>
      <x:c r="J34" s="58" t="str">
        <x:v>Local e-commerce/API lab; never real payments.</x:v>
      </x:c>
      <x:c r="K34" s="58" t="str">
        <x:v>Original/modified request, server-calculated result and dummy order state.</x:v>
      </x:c>
      <x:c r="L34" s="58" t="str">
        <x:v>https://owasp.org/projects/api-security-project/</x:v>
      </x:c>
      <x:c r="M34" s="58" t="str">
        <x:v>Not Started</x:v>
      </x:c>
      <x:c r="N34" s="58" t="str"/>
      <x:c r="O34" s="59" t="str"/>
    </x:row>
    <x:row r="35" ht="112" customHeight="1">
      <x:c r="A35" s="57" t="str">
        <x:v>REST-31</x:v>
      </x:c>
      <x:c r="B35" s="58" t="str">
        <x:v>Account/user enumeration</x:v>
      </x:c>
      <x:c r="C35" s="58" t="str">
        <x:v>Different responses or timing may disclose whether an account exists.</x:v>
      </x:c>
      <x:c r="D35" s="58" t="str">
        <x:v>Use only self-created lab usernames/emails, not real users.</x:v>
      </x:c>
      <x:c r="E35" s="58" t="str">
        <x:v>1) Submit one known test identity and one reserved nonexistent identity to login/reset endpoint. 2) Compare message, status and response shape. 3) Avoid brute force.</x:v>
      </x:c>
      <x:c r="F35" s="58" t="str">
        <x:v>POST /users/v1/login
{"username":"known-test-user","password":"wrong-test-password"}
Compare with a made-up lab-only username.</x:v>
      </x:c>
      <x:c r="G35" s="58" t="str">
        <x:v>Different client-visible response reveals existence beyond product requirements; timing alone needs repeatable evidence.</x:v>
      </x:c>
      <x:c r="H35" s="58" t="str">
        <x:v>Use uniform external responses and sensible rate limits while preserving useful support logging.</x:v>
      </x:c>
      <x:c r="I35" s="58" t="str">
        <x:v>Burp Repeater</x:v>
      </x:c>
      <x:c r="J35" s="58" t="str">
        <x:v>VAmPI local or dedicated auth lab.</x:v>
      </x:c>
      <x:c r="K35" s="58" t="str">
        <x:v>Paired sanitized responses, timing methodology and caveats.</x:v>
      </x:c>
      <x:c r="L35" s="58" t="str">
        <x:v>https://github.com/erev0s/VAmPI</x:v>
      </x:c>
      <x:c r="M35" s="58" t="str">
        <x:v>Not Started</x:v>
      </x:c>
      <x:c r="N35" s="58" t="str"/>
      <x:c r="O35" s="59" t="str"/>
    </x:row>
    <x:row r="36" ht="112" customHeight="1">
      <x:c r="A36" s="60" t="str">
        <x:v>REST-32</x:v>
      </x:c>
      <x:c r="B36" s="61" t="str">
        <x:v>Bulk operation / batch authorization gap</x:v>
      </x:c>
      <x:c r="C36" s="61" t="str">
        <x:v>Bulk endpoints may authorize only the first item or fail to validate each item independently.</x:v>
      </x:c>
      <x:c r="D36" s="61" t="str">
        <x:v>Use disposable dummy records under two test users/tenants; only if API supports bulk actions.</x:v>
      </x:c>
      <x:c r="E36" s="61" t="str">
        <x:v>1) Submit a normal bulk request containing only owned dummy items. 2) Add one unauthorized dummy identifier in a second request. 3) Verify atomicity and per-item authorization; stop if any unrelated state may change.</x:v>
      </x:c>
      <x:c r="F36" s="61" t="str">
        <x:v>{"ids":["OWNED-TEST-1","OTHER-TEST-2"]}
Template only; use local bulk endpoint.</x:v>
      </x:c>
      <x:c r="G36" s="61" t="str">
        <x:v>Unauthorized item is processed, or partial failure unexpectedly modifies unauthorized records.</x:v>
      </x:c>
      <x:c r="H36" s="61" t="str">
        <x:v>Validate authorization per item and define transaction atomicity; cap batch size.</x:v>
      </x:c>
      <x:c r="I36" s="61" t="str">
        <x:v>Burp Repeater</x:v>
      </x:c>
      <x:c r="J36" s="61" t="str">
        <x:v>Local lab with bulk endpoint; small batch only.</x:v>
      </x:c>
      <x:c r="K36" s="61" t="str">
        <x:v>Request, per-item results, before/after state.</x:v>
      </x:c>
      <x:c r="L36" s="61" t="str">
        <x:v>https://owasp.org/projects/api-security-project/</x:v>
      </x:c>
      <x:c r="M36" s="61" t="str">
        <x:v>Not Started</x:v>
      </x:c>
      <x:c r="N36" s="61" t="str"/>
      <x:c r="O36" s="62" t="str"/>
    </x:row>
  </x:sheetData>
  <x:mergeCells>
    <x:mergeCell ref="A1:O1"/>
    <x:mergeCell ref="A2:O2"/>
    <x:mergeCell ref="A3:O3"/>
  </x:mergeCells>
  <x:conditionalFormatting sqref="M5:M36">
    <x:cfRule type="expression" dxfId="0" priority="1">
      <x:formula>M5="Fail"</x:formula>
    </x:cfRule>
    <x:cfRule type="expression" dxfId="1" priority="2">
      <x:formula>M5="Pass"</x:formula>
    </x:cfRule>
    <x:cfRule type="expression" dxfId="2" priority="3">
      <x:formula>M5="Blocked"</x:formula>
    </x:cfRule>
  </x:conditionalFormatting>
  <x:dataValidations count="1">
    <x:dataValidation type="list" sqref="M5:M36">
      <x:formula1>"Not Started,In Progress,Pass,Fail,Blocked,N/A"</x:formula1>
    </x:dataValidation>
  </x:dataValidations>
  <x:pageMargins left="0.7" right="0.7" top="0.75" bottom="0.75" header="0.3" footer="0.3"/>
  <x:tableParts count="1">
    <x:tablePart xmlns:r="http://schemas.openxmlformats.org/officeDocument/2006/relationships" r:id="Rf5e9bcc7aa594c17"/>
  </x:tableParts>
</x:worksheet>
</file>

<file path=xl/worksheets/sheet2.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27" hidden="0" customWidth="1"/>
    <x:col min="3" max="3" width="37" hidden="0" customWidth="1"/>
    <x:col min="4" max="4" width="34" hidden="0" customWidth="1"/>
    <x:col min="5" max="5" width="43" hidden="0" customWidth="1"/>
    <x:col min="6" max="6" width="40" hidden="0" customWidth="1"/>
    <x:col min="7" max="7" width="38" hidden="0" customWidth="1"/>
    <x:col min="8" max="8" width="34" hidden="0" customWidth="1"/>
    <x:col min="9" max="9" width="20" hidden="0" customWidth="1"/>
    <x:col min="10" max="10" width="33" hidden="0" customWidth="1"/>
    <x:col min="11" max="11" width="32" hidden="0" customWidth="1"/>
    <x:col min="12" max="12" width="36" hidden="0" customWidth="1"/>
    <x:col min="13" max="13" width="16" hidden="0" customWidth="1"/>
    <x:col min="14" max="14" width="14" hidden="0" customWidth="1"/>
    <x:col min="15" max="15" width="30" hidden="0" customWidth="1"/>
  </x:cols>
  <x:sheetData>
    <x:row r="1" ht="34" customHeight="1">
      <x:c r="A1" s="5" t="str">
        <x:v>GraphQL — hands-on security test cases</x:v>
      </x:c>
      <x:c r="B1" s="5"/>
      <x:c r="C1" s="5"/>
      <x:c r="D1" s="5"/>
      <x:c r="E1" s="5"/>
      <x:c r="F1" s="5"/>
      <x:c r="G1" s="5"/>
      <x:c r="H1" s="5"/>
      <x:c r="I1" s="5"/>
      <x:c r="J1" s="5"/>
      <x:c r="K1" s="5"/>
      <x:c r="L1" s="5"/>
      <x:c r="M1" s="5"/>
      <x:c r="N1" s="5"/>
      <x:c r="O1" s="5"/>
    </x:row>
    <x:row r="2" ht="34" customHeight="1">
      <x:c r="A2" s="13" t="str">
        <x:v>22 test cases · DVGA local lab; adapt field names to the actual schema</x:v>
      </x:c>
      <x:c r="B2" s="13"/>
      <x:c r="C2" s="13"/>
      <x:c r="D2" s="13"/>
      <x:c r="E2" s="13"/>
      <x:c r="F2" s="13"/>
      <x:c r="G2" s="13"/>
      <x:c r="H2" s="13"/>
      <x:c r="I2" s="13"/>
      <x:c r="J2" s="13"/>
      <x:c r="K2" s="13"/>
      <x:c r="L2" s="13"/>
      <x:c r="M2" s="13"/>
      <x:c r="N2" s="13"/>
      <x:c r="O2" s="13"/>
    </x:row>
    <x:row r="3" ht="32" customHeight="1">
      <x:c r="A3" s="21" t="str">
        <x:v>Use only authorized targets. Local-lab examples are intentional training scenarios; placeholders and schema names must be adapted to the running lab. A suspected result is not a confirmed finding until impact is validated.</x:v>
      </x:c>
      <x:c r="B3" s="21"/>
      <x:c r="C3" s="21"/>
      <x:c r="D3" s="21"/>
      <x:c r="E3" s="21"/>
      <x:c r="F3" s="21"/>
      <x:c r="G3" s="21"/>
      <x:c r="H3" s="21"/>
      <x:c r="I3" s="21"/>
      <x:c r="J3" s="21"/>
      <x:c r="K3" s="21"/>
      <x:c r="L3" s="21"/>
      <x:c r="M3" s="21"/>
      <x:c r="N3" s="21"/>
      <x:c r="O3" s="21"/>
    </x:row>
    <x:row r="4" ht="38" customHeight="1">
      <x:c r="A4" s="30" t="str">
        <x:v>Test ID</x:v>
      </x:c>
      <x:c r="B4" s="30" t="str">
        <x:v>Vulnerability Name</x:v>
      </x:c>
      <x:c r="C4" s="30" t="str">
        <x:v>Description / Risk</x:v>
      </x:c>
      <x:c r="D4" s="30" t="str">
        <x:v>Prerequisites / Test Data</x:v>
      </x:c>
      <x:c r="E4" s="30" t="str">
        <x:v>Hands-on Steps</x:v>
      </x:c>
      <x:c r="F4" s="30" t="str">
        <x:v>Example Request / Payload / Command</x:v>
      </x:c>
      <x:c r="G4" s="30" t="str">
        <x:v>How to Identify / Validation</x:v>
      </x:c>
      <x:c r="H4" s="30" t="str">
        <x:v>Expected Secure Behaviour</x:v>
      </x:c>
      <x:c r="I4" s="30" t="str">
        <x:v>Tools</x:v>
      </x:c>
      <x:c r="J4" s="30" t="str">
        <x:v>Demo Lab / Target</x:v>
      </x:c>
      <x:c r="K4" s="30" t="str">
        <x:v>Evidence to Capture</x:v>
      </x:c>
      <x:c r="L4" s="30" t="str">
        <x:v>Source / Reference URL</x:v>
      </x:c>
      <x:c r="M4" s="30" t="str">
        <x:v>Status</x:v>
      </x:c>
      <x:c r="N4" s="30" t="str">
        <x:v>Finding ID</x:v>
      </x:c>
      <x:c r="O4" s="30" t="str">
        <x:v>Tester Notes</x:v>
      </x:c>
    </x:row>
    <x:row r="5" ht="112" customHeight="1">
      <x:c r="A5" s="54" t="str">
        <x:v>GQL-01</x:v>
      </x:c>
      <x:c r="B5" s="55" t="str">
        <x:v>GraphQL endpoint discovery</x:v>
      </x:c>
      <x:c r="C5" s="55" t="str">
        <x:v>GraphQL may be hidden behind a route not listed in REST docs or may use an alternate path.</x:v>
      </x:c>
      <x:c r="D5" s="55" t="str">
        <x:v>Run DVGA locally; browse app and capture normal requests.</x:v>
      </x:c>
      <x:c r="E5" s="55" t="str">
        <x:v>1) Inspect browser Network and Burp history. 2) Look for POST requests with `query`, `mutation` or `variables`. 3) Search approved docs for `/graphql` or custom paths.</x:v>
      </x:c>
      <x:c r="F5" s="55" t="str">
        <x:v>POST /graphql
Content-Type: application/json
{"query":"query { __typename }"}</x:v>
      </x:c>
      <x:c r="G5" s="55" t="str">
        <x:v>Response has GraphQL-style `data`/`errors`, `__typename`, or GraphQL content; confirm route via documentation/UI.</x:v>
      </x:c>
      <x:c r="H5" s="55" t="str">
        <x:v>Maintain accurate inventory and protect all GraphQL operations consistently.</x:v>
      </x:c>
      <x:c r="I5" s="55" t="str">
        <x:v>Burp Proxy / Repeater</x:v>
      </x:c>
      <x:c r="J5" s="55" t="str">
        <x:v>DVGA local; official setup URL in Labs sheet.</x:v>
      </x:c>
      <x:c r="K5" s="55" t="str">
        <x:v>Request path, content type, response structure, schema source.</x:v>
      </x:c>
      <x:c r="L5" s="55" t="str">
        <x:v>https://github.com/dolevf/Damn-Vulnerable-GraphQL-Application</x:v>
      </x:c>
      <x:c r="M5" s="55" t="str">
        <x:v>Not Started</x:v>
      </x:c>
      <x:c r="N5" s="55" t="str"/>
      <x:c r="O5" s="56" t="str"/>
    </x:row>
    <x:row r="6" ht="112" customHeight="1">
      <x:c r="A6" s="57" t="str">
        <x:v>GQL-02</x:v>
      </x:c>
      <x:c r="B6" s="58" t="str">
        <x:v>Introspection exposure</x:v>
      </x:c>
      <x:c r="C6" s="58" t="str">
        <x:v>Schema introspection can disclose types and operations; impact depends on deployment policy.</x:v>
      </x:c>
      <x:c r="D6" s="58" t="str">
        <x:v>Local DVGA or owned staging GraphQL endpoint; confirm whether public schema discovery is intended.</x:v>
      </x:c>
      <x:c r="E6" s="58" t="str">
        <x:v>1) Send a small introspection query for `__schema { queryType { name } }`. 2) If permitted, progressively inspect fields using the lab UI. 3) Do not overload endpoint with giant schema requests.</x:v>
      </x:c>
      <x:c r="F6" s="58" t="str">
        <x:v>{"query":"{ __schema { queryType { name } } }"}</x:v>
      </x:c>
      <x:c r="G6" s="58" t="str">
        <x:v>Schema metadata is returned where policy says it must be restricted; exposure alone is not always a vuln for public developer APIs.</x:v>
      </x:c>
      <x:c r="H6" s="58" t="str">
        <x:v>Define and enforce policy: production schema discovery restricted where needed; all resolvers still enforce auth.</x:v>
      </x:c>
      <x:c r="I6" s="58" t="str">
        <x:v>Burp Repeater</x:v>
      </x:c>
      <x:c r="J6" s="58" t="str">
        <x:v>DVGA local; only inspect owned/staged endpoint.</x:v>
      </x:c>
      <x:c r="K6" s="58" t="str">
        <x:v>Exact query, response snippet, documented introspection policy.</x:v>
      </x:c>
      <x:c r="L6" s="58" t="str">
        <x:v>https://cheatsheetseries.owasp.org/cheatsheets/GraphQL_Cheat_Sheet.html</x:v>
      </x:c>
      <x:c r="M6" s="58" t="str">
        <x:v>Not Started</x:v>
      </x:c>
      <x:c r="N6" s="58" t="str"/>
      <x:c r="O6" s="59" t="str"/>
    </x:row>
    <x:row r="7" ht="112" customHeight="1">
      <x:c r="A7" s="57" t="str">
        <x:v>GQL-03</x:v>
      </x:c>
      <x:c r="B7" s="58" t="str">
        <x:v>Field suggestion / schema leakage</x:v>
      </x:c>
      <x:c r="C7" s="58" t="str">
        <x:v>Error suggestions may disclose valid field/type names when full introspection is disabled.</x:v>
      </x:c>
      <x:c r="D7" s="58" t="str">
        <x:v>Local DVGA or own test endpoint; use harmless invalid field name.</x:v>
      </x:c>
      <x:c r="E7" s="58" t="str">
        <x:v>1) Send a query with a deliberately misspelled harmless field. 2) Inspect error for field suggestions. 3) Assess whether this violates the actual threat model.</x:v>
      </x:c>
      <x:c r="F7" s="58" t="str">
        <x:v>{"query":"{ __typname }"}</x:v>
      </x:c>
      <x:c r="G7" s="58" t="str">
        <x:v>Error offers sensitive schema names; record this as information disclosure only if policy/impact justifies it.</x:v>
      </x:c>
      <x:c r="H7" s="58" t="str">
        <x:v>Use generic errors when appropriate; avoid relying on hidden names as access control.</x:v>
      </x:c>
      <x:c r="I7" s="58" t="str">
        <x:v>Burp Repeater</x:v>
      </x:c>
      <x:c r="J7" s="58" t="str">
        <x:v>DVGA local</x:v>
      </x:c>
      <x:c r="K7" s="58" t="str">
        <x:v>Request and exact error message, whether introspection was otherwise restricted.</x:v>
      </x:c>
      <x:c r="L7" s="58" t="str">
        <x:v>https://cheatsheetseries.owasp.org/cheatsheets/GraphQL_Cheat_Sheet.html</x:v>
      </x:c>
      <x:c r="M7" s="58" t="str">
        <x:v>Not Started</x:v>
      </x:c>
      <x:c r="N7" s="58" t="str"/>
      <x:c r="O7" s="59" t="str"/>
    </x:row>
    <x:row r="8" ht="112" customHeight="1">
      <x:c r="A8" s="57" t="str">
        <x:v>GQL-04</x:v>
      </x:c>
      <x:c r="B8" s="58" t="str">
        <x:v>BOLA on queried object</x:v>
      </x:c>
      <x:c r="C8" s="58" t="str">
        <x:v>Resolver may return any object's data based solely on a client-supplied ID.</x:v>
      </x:c>
      <x:c r="D8" s="58" t="str">
        <x:v>Use two lab identities and an object each owns; inspect schema to find object query.</x:v>
      </x:c>
      <x:c r="E8" s="58" t="str">
        <x:v>1) Query own object as User A. 2) Repeat the same field with User B's token and A's test ID. 3) Use schema-valid fields only.</x:v>
      </x:c>
      <x:c r="F8" s="58" t="str">
        <x:v>{"query":"query($id: ID!){ user(id:$id){ id name } }","variables":{"id":"&lt;USER_A_TEST_ID&gt;"}}</x:v>
      </x:c>
      <x:c r="G8" s="58" t="str">
        <x:v>User B receives A's private fields contrary to policy; check the actual schema and ownership.</x:v>
      </x:c>
      <x:c r="H8" s="58" t="str">
        <x:v>Resolver enforces object-level permission regardless of identifier knowledge.</x:v>
      </x:c>
      <x:c r="I8" s="58" t="str">
        <x:v>Burp Repeater</x:v>
      </x:c>
      <x:c r="J8" s="58" t="str">
        <x:v>DVGA local; adapt field names to installed schema.</x:v>
      </x:c>
      <x:c r="K8" s="58" t="str">
        <x:v>A/B tokens, object ownership, response data/error.</x:v>
      </x:c>
      <x:c r="L8" s="58" t="str">
        <x:v>https://cheatsheetseries.owasp.org/cheatsheets/GraphQL_Cheat_Sheet.html</x:v>
      </x:c>
      <x:c r="M8" s="58" t="str">
        <x:v>Not Started</x:v>
      </x:c>
      <x:c r="N8" s="58" t="str"/>
      <x:c r="O8" s="59" t="str"/>
    </x:row>
    <x:row r="9" ht="112" customHeight="1">
      <x:c r="A9" s="57" t="str">
        <x:v>GQL-05</x:v>
      </x:c>
      <x:c r="B9" s="58" t="str">
        <x:v>Nested resolver authorization</x:v>
      </x:c>
      <x:c r="C9" s="58" t="str">
        <x:v>Parent object access may unintentionally expose private child objects through nested fields.</x:v>
      </x:c>
      <x:c r="D9" s="58" t="str">
        <x:v>Use local lab schema with nested relationships (e.g., user→orders/posts).</x:v>
      </x:c>
      <x:c r="E9" s="58" t="str">
        <x:v>1) Query a parent the user is allowed to view. 2) Request a related private child field. 3) Repeat with another role/account if applicable.</x:v>
      </x:c>
      <x:c r="F9" s="58" t="str">
        <x:v>{"query":"{ user(id:\"&lt;TEST_ID&gt;\"){ id orders { id status } } }"}
Adapt schema names locally.</x:v>
      </x:c>
      <x:c r="G9" s="58" t="str">
        <x:v>Nested private child data is returned without checking child ownership/permission.</x:v>
      </x:c>
      <x:c r="H9" s="58" t="str">
        <x:v>Apply authorization at the field/resolver and underlying data layer.</x:v>
      </x:c>
      <x:c r="I9" s="58" t="str">
        <x:v>Burp Repeater</x:v>
      </x:c>
      <x:c r="J9" s="58" t="str">
        <x:v>DVGA if schema supports nested fields; otherwise owned GraphQL app.</x:v>
      </x:c>
      <x:c r="K9" s="58" t="str">
        <x:v>Query, role, child object ownership and response.</x:v>
      </x:c>
      <x:c r="L9" s="58" t="str">
        <x:v>https://cheatsheetseries.owasp.org/cheatsheets/GraphQL_Cheat_Sheet.html</x:v>
      </x:c>
      <x:c r="M9" s="58" t="str">
        <x:v>Not Started</x:v>
      </x:c>
      <x:c r="N9" s="58" t="str"/>
      <x:c r="O9" s="59" t="str"/>
    </x:row>
    <x:row r="10" ht="112" customHeight="1">
      <x:c r="A10" s="57" t="str">
        <x:v>GQL-06</x:v>
      </x:c>
      <x:c r="B10" s="58" t="str">
        <x:v>Field-level authorization / excessive data</x:v>
      </x:c>
      <x:c r="C10" s="58" t="str">
        <x:v>A role may receive sensitive fields such as email, tokens or internal flags via GraphQL selection.</x:v>
      </x:c>
      <x:c r="D10" s="58" t="str">
        <x:v>Use regular test account; identify sensitive fields in owned schema/docs.</x:v>
      </x:c>
      <x:c r="E10" s="58" t="str">
        <x:v>1) Query only a benign profile field. 2) Add one candidate sensitive field known to the schema. 3) Compare with role matrix; do not request secrets from actual users.</x:v>
      </x:c>
      <x:c r="F10" s="58" t="str">
        <x:v>{"query":"{ me { id name email } }"}
Adapt to schema; never guess/exfiltrate secrets.</x:v>
      </x:c>
      <x:c r="G10" s="58" t="str">
        <x:v>Unauthorized field value is returned to the role; field being discoverable alone is not enough.</x:v>
      </x:c>
      <x:c r="H10" s="58" t="str">
        <x:v>Field-level policy and response minimization enforced server-side.</x:v>
      </x:c>
      <x:c r="I10" s="58" t="str">
        <x:v>Burp Repeater</x:v>
      </x:c>
      <x:c r="J10" s="58" t="str">
        <x:v>Local DVGA or company-owned test schema.</x:v>
      </x:c>
      <x:c r="K10" s="58" t="str">
        <x:v>Field selection and sanitized returned values/denial.</x:v>
      </x:c>
      <x:c r="L10" s="58" t="str">
        <x:v>https://cheatsheetseries.owasp.org/cheatsheets/GraphQL_Cheat_Sheet.html</x:v>
      </x:c>
      <x:c r="M10" s="58" t="str">
        <x:v>Not Started</x:v>
      </x:c>
      <x:c r="N10" s="58" t="str"/>
      <x:c r="O10" s="59" t="str"/>
    </x:row>
    <x:row r="11" ht="112" customHeight="1">
      <x:c r="A11" s="57" t="str">
        <x:v>GQL-07</x:v>
      </x:c>
      <x:c r="B11" s="58" t="str">
        <x:v>Unauthorized mutation</x:v>
      </x:c>
      <x:c r="C11" s="58" t="str">
        <x:v>Mutation resolver may lack a role/owner check even when query is protected.</x:v>
      </x:c>
      <x:c r="D11" s="58" t="str">
        <x:v>Use test object and role explicitly not permitted to change it.</x:v>
      </x:c>
      <x:c r="E11" s="58" t="str">
        <x:v>1) Capture a successful mutation on your own disposable object. 2) Replay same mutation as lower-privileged or other test user. 3) Verify persistence.</x:v>
      </x:c>
      <x:c r="F11" s="58" t="str">
        <x:v>{"query":"mutation($id:ID!){ updateThing(id:$id, name:\"PT-test\"){ id } }","variables":{"id":"&lt;OTHER_TEST_OBJECT_ID&gt;"}}
Schema placeholder; adapt to local docs.</x:v>
      </x:c>
      <x:c r="G11" s="58" t="str">
        <x:v>Unauthorized mutation changes state or returns a successful result with actual persisted change.</x:v>
      </x:c>
      <x:c r="H11" s="58" t="str">
        <x:v>Enforce authorization at every mutation and affected object.</x:v>
      </x:c>
      <x:c r="I11" s="58" t="str">
        <x:v>Burp Repeater</x:v>
      </x:c>
      <x:c r="J11" s="58" t="str">
        <x:v>DVGA or own GraphQL lab; only disposable data.</x:v>
      </x:c>
      <x:c r="K11" s="58" t="str">
        <x:v>Before/after state, identity, mutation and response.</x:v>
      </x:c>
      <x:c r="L11" s="58" t="str">
        <x:v>https://cheatsheetseries.owasp.org/cheatsheets/GraphQL_Cheat_Sheet.html</x:v>
      </x:c>
      <x:c r="M11" s="58" t="str">
        <x:v>Not Started</x:v>
      </x:c>
      <x:c r="N11" s="58" t="str"/>
      <x:c r="O11" s="59" t="str"/>
    </x:row>
    <x:row r="12" ht="112" customHeight="1">
      <x:c r="A12" s="57" t="str">
        <x:v>GQL-08</x:v>
      </x:c>
      <x:c r="B12" s="58" t="str">
        <x:v>Mutation input mass assignment</x:v>
      </x:c>
      <x:c r="C12" s="58" t="str">
        <x:v>Input objects may accept protected properties such as role, owner or isAdmin.</x:v>
      </x:c>
      <x:c r="D12" s="58" t="str">
        <x:v>Inspect input types; create disposable local object.</x:v>
      </x:c>
      <x:c r="E12" s="58" t="str">
        <x:v>1) Submit normal mutation. 2) Add one schema-recognized privileged input field at a time. 3) Query object after mutation to confirm persisted value.</x:v>
      </x:c>
      <x:c r="F12" s="58" t="str">
        <x:v>{"query":"mutation { updateProfile(input:{displayName:\"PT-test\",isAdmin:true}) { id } }"}
Only if schema exposes `isAdmin`; otherwise use documented protected field.</x:v>
      </x:c>
      <x:c r="G12" s="58" t="str">
        <x:v>Protected property changes without privileged workflow.</x:v>
      </x:c>
      <x:c r="H12" s="58" t="str">
        <x:v>Input types/allowlists exclude or reject protected fields; derive identity from context.</x:v>
      </x:c>
      <x:c r="I12" s="58" t="str">
        <x:v>Burp Repeater</x:v>
      </x:c>
      <x:c r="J12" s="58" t="str">
        <x:v>Local GraphQL lab only; field names are schema-dependent.</x:v>
      </x:c>
      <x:c r="K12" s="58" t="str">
        <x:v>Schema definition, modified input, persisted value.</x:v>
      </x:c>
      <x:c r="L12" s="58" t="str">
        <x:v>https://cheatsheetseries.owasp.org/cheatsheets/GraphQL_Cheat_Sheet.html</x:v>
      </x:c>
      <x:c r="M12" s="58" t="str">
        <x:v>Not Started</x:v>
      </x:c>
      <x:c r="N12" s="58" t="str"/>
      <x:c r="O12" s="59" t="str"/>
    </x:row>
    <x:row r="13" ht="112" customHeight="1">
      <x:c r="A13" s="57" t="str">
        <x:v>GQL-09</x:v>
      </x:c>
      <x:c r="B13" s="58" t="str">
        <x:v>Argument tampering / ownership mismatch</x:v>
      </x:c>
      <x:c r="C13" s="58" t="str">
        <x:v>Client may change ID, accountId or tenantId arguments to query or mutate another object.</x:v>
      </x:c>
      <x:c r="D13" s="58" t="str">
        <x:v>Two test users and schema for object lookup; use only test IDs.</x:v>
      </x:c>
      <x:c r="E13" s="58" t="str">
        <x:v>1) Capture valid own-object query/mutation. 2) Modify one ID argument using the other test account's object ID. 3) Compare behavior.</x:v>
      </x:c>
      <x:c r="F13" s="58" t="str">
        <x:v>{"query":"query($id:ID!){ order(id:$id){ id status } }","variables":{"id":"&lt;OTHER_TEST_ORDER_ID&gt;"}}</x:v>
      </x:c>
      <x:c r="G13" s="58" t="str">
        <x:v>Object read or modified across users/tenants without permission.</x:v>
      </x:c>
      <x:c r="H13" s="58" t="str">
        <x:v>Authorization based on server-side identity and relationship, not client argument alone.</x:v>
      </x:c>
      <x:c r="I13" s="58" t="str">
        <x:v>Burp Repeater</x:v>
      </x:c>
      <x:c r="J13" s="58" t="str">
        <x:v>Local lab / owned API</x:v>
      </x:c>
      <x:c r="K13" s="58" t="str">
        <x:v>Role, IDs mapped to test accounts, responses and effect.</x:v>
      </x:c>
      <x:c r="L13" s="58" t="str">
        <x:v>https://owasp.org/projects/api-security-project/</x:v>
      </x:c>
      <x:c r="M13" s="58" t="str">
        <x:v>Not Started</x:v>
      </x:c>
      <x:c r="N13" s="58" t="str"/>
      <x:c r="O13" s="59" t="str"/>
    </x:row>
    <x:row r="14" ht="112" customHeight="1">
      <x:c r="A14" s="57" t="str">
        <x:v>GQL-10</x:v>
      </x:c>
      <x:c r="B14" s="58" t="str">
        <x:v>Resolver injection via string argument</x:v>
      </x:c>
      <x:c r="C14" s="58" t="str">
        <x:v>Resolver input may be interpolated into SQL, shell, URL or template code.</x:v>
      </x:c>
      <x:c r="D14" s="58" t="str">
        <x:v>Only local vulnerable DVGA mode and a query field with a string argument.</x:v>
      </x:c>
      <x:c r="E14" s="58" t="str">
        <x:v>1) Establish baseline with `PT-marker`. 2) Add a single quote or benign special character. 3) Compare error/behavior. 4) Use lab-specific instructions for confirmation; do not attempt command execution or data extraction.</x:v>
      </x:c>
      <x:c r="F14" s="58" t="str">
        <x:v>{"query":"query { search(term:\"PT-marker'\") { id } }"}
Replace `search` based on actual schema.</x:v>
      </x:c>
      <x:c r="G14" s="58" t="str">
        <x:v>Repeatable parser/database error or controlled behavior difference linked to payload; not merely generic 400.</x:v>
      </x:c>
      <x:c r="H14" s="58" t="str">
        <x:v>Use parameterized queries, type validation and safe context-specific encoding.</x:v>
      </x:c>
      <x:c r="I14" s="58" t="str">
        <x:v>Burp Repeater</x:v>
      </x:c>
      <x:c r="J14" s="58" t="str">
        <x:v>DVGA local only; follow lab scenario docs.</x:v>
      </x:c>
      <x:c r="K14" s="58" t="str">
        <x:v>Baseline vs test response, field name, no extracted records.</x:v>
      </x:c>
      <x:c r="L14" s="58" t="str">
        <x:v>https://github.com/dolevf/Damn-Vulnerable-GraphQL-Application</x:v>
      </x:c>
      <x:c r="M14" s="58" t="str">
        <x:v>Not Started</x:v>
      </x:c>
      <x:c r="N14" s="58" t="str"/>
      <x:c r="O14" s="59" t="str"/>
    </x:row>
    <x:row r="15" ht="112" customHeight="1">
      <x:c r="A15" s="57" t="str">
        <x:v>GQL-11</x:v>
      </x:c>
      <x:c r="B15" s="58" t="str">
        <x:v>Argument type / input validation</x:v>
      </x:c>
      <x:c r="C15" s="58" t="str">
        <x:v>Weak GraphQL argument validation or resolver validation can accept unexpected values and invalid states.</x:v>
      </x:c>
      <x:c r="D15" s="58" t="str">
        <x:v>Inspect schema type requirements and safe test mutation/query.</x:v>
      </x:c>
      <x:c r="E15" s="58" t="str">
        <x:v>1) Test missing required variable. 2) Supply wrong scalar type or null. 3) Try an out-of-range but modest number for a test field.</x:v>
      </x:c>
      <x:c r="F15" s="58" t="str">
        <x:v>{"query":"query($id: ID!){ user(id:$id){ id } }","variables":{"id":null}}</x:v>
      </x:c>
      <x:c r="G15" s="58" t="str">
        <x:v>Invalid types/nulls reach backend unexpectedly or violate business constraints.</x:v>
      </x:c>
      <x:c r="H15" s="58" t="str">
        <x:v>GraphQL type validation plus domain validation on resolver/backend; errors don't disclose internals.</x:v>
      </x:c>
      <x:c r="I15" s="58" t="str">
        <x:v>Burp Repeater</x:v>
      </x:c>
      <x:c r="J15" s="58" t="str">
        <x:v>DVGA / owned schema</x:v>
      </x:c>
      <x:c r="K15" s="58" t="str">
        <x:v>Schema type, request, error and any persisted state.</x:v>
      </x:c>
      <x:c r="L15" s="58" t="str">
        <x:v>https://cheatsheetseries.owasp.org/cheatsheets/GraphQL_Cheat_Sheet.html</x:v>
      </x:c>
      <x:c r="M15" s="58" t="str">
        <x:v>Not Started</x:v>
      </x:c>
      <x:c r="N15" s="58" t="str"/>
      <x:c r="O15" s="59" t="str"/>
    </x:row>
    <x:row r="16" ht="112" customHeight="1">
      <x:c r="A16" s="57" t="str">
        <x:v>GQL-12</x:v>
      </x:c>
      <x:c r="B16" s="58" t="str">
        <x:v>Query depth / complexity limits</x:v>
      </x:c>
      <x:c r="C16" s="58" t="str">
        <x:v>Deeply nested relationships can multiply backend work and exhaust resources.</x:v>
      </x:c>
      <x:c r="D16" s="58" t="str">
        <x:v>Local DVGA or owned staging; no production stress testing.</x:v>
      </x:c>
      <x:c r="E16" s="58" t="str">
        <x:v>1) Send a normal query. 2) Increase nesting modestly by 1–2 levels using valid schema relationships. 3) Observe response time and server limits; stop if latency rises.</x:v>
      </x:c>
      <x:c r="F16" s="58" t="str">
        <x:v>{"query":"{ user(id:\"&lt;TEST_ID&gt;\"){ posts { comments { id } } } }"}
Keep depth modest; no recursive flood.</x:v>
      </x:c>
      <x:c r="G16" s="58" t="str">
        <x:v>Deep query consumes disproportionate resource or there is no documented policy/control; confirm with safe low-volume tests.</x:v>
      </x:c>
      <x:c r="H16" s="58" t="str">
        <x:v>Depth/complexity budgets, timeouts, pagination, persisted/allowlisted queries where appropriate.</x:v>
      </x:c>
      <x:c r="I16" s="58" t="str">
        <x:v>Burp Repeater; server metrics if available</x:v>
      </x:c>
      <x:c r="J16" s="58" t="str">
        <x:v>DVGA local, isolated only</x:v>
      </x:c>
      <x:c r="K16" s="58" t="str">
        <x:v>Query depth, response time baseline/test, limit/error response.</x:v>
      </x:c>
      <x:c r="L16" s="58" t="str">
        <x:v>https://cheatsheetseries.owasp.org/cheatsheets/GraphQL_Cheat_Sheet.html</x:v>
      </x:c>
      <x:c r="M16" s="58" t="str">
        <x:v>Not Started</x:v>
      </x:c>
      <x:c r="N16" s="58" t="str"/>
      <x:c r="O16" s="59" t="str"/>
    </x:row>
    <x:row r="17" ht="112" customHeight="1">
      <x:c r="A17" s="57" t="str">
        <x:v>GQL-13</x:v>
      </x:c>
      <x:c r="B17" s="58" t="str">
        <x:v>Batching controls</x:v>
      </x:c>
      <x:c r="C17" s="58" t="str">
        <x:v>Multiple operations in one request may bypass per-request quotas or abuse sensitive workflows.</x:v>
      </x:c>
      <x:c r="D17" s="58" t="str">
        <x:v>Local lab endpoint that supports array/batching; use harmless read query.</x:v>
      </x:c>
      <x:c r="E17" s="58" t="str">
        <x:v>1) Send one benign query. 2) Repeat with a small batch of two equivalent benign queries if supported. 3) Observe policy and rate-limit accounting; do not automate large batches.</x:v>
      </x:c>
      <x:c r="F17" s="58" t="str">
        <x:v>[{"query":"{ __typename }"},{"query":"{ __typename }"}]</x:v>
      </x:c>
      <x:c r="G17" s="58" t="str">
        <x:v>Batching permits sensitive operations to evade per-identity/request limit or causes disproportionate cost.</x:v>
      </x:c>
      <x:c r="H17" s="58" t="str">
        <x:v>Bound batch size and apply cost/rate accounting per operation, identity and resource.</x:v>
      </x:c>
      <x:c r="I17" s="58" t="str">
        <x:v>Burp Repeater</x:v>
      </x:c>
      <x:c r="J17" s="58" t="str">
        <x:v>DVGA local, only low-count test</x:v>
      </x:c>
      <x:c r="K17" s="58" t="str">
        <x:v>Request batch size and response, documented API behavior.</x:v>
      </x:c>
      <x:c r="L17" s="58" t="str">
        <x:v>https://cheatsheetseries.owasp.org/cheatsheets/GraphQL_Cheat_Sheet.html</x:v>
      </x:c>
      <x:c r="M17" s="58" t="str">
        <x:v>Not Started</x:v>
      </x:c>
      <x:c r="N17" s="58" t="str"/>
      <x:c r="O17" s="59" t="str"/>
    </x:row>
    <x:row r="18" ht="112" customHeight="1">
      <x:c r="A18" s="57" t="str">
        <x:v>GQL-14</x:v>
      </x:c>
      <x:c r="B18" s="58" t="str">
        <x:v>Alias / duplicate-field cost controls</x:v>
      </x:c>
      <x:c r="C18" s="58" t="str">
        <x:v>Aliases can request the same resolver many times in one HTTP request.</x:v>
      </x:c>
      <x:c r="D18" s="58" t="str">
        <x:v>Local lab; only a tiny 2-alias probe.</x:v>
      </x:c>
      <x:c r="E18" s="58" t="str">
        <x:v>1) Run baseline query. 2) Submit two aliases for the same harmless field. 3) Observe quota/cost accounting; do not expand to dozens/hundreds.</x:v>
      </x:c>
      <x:c r="F18" s="58" t="str">
        <x:v>{"query":"query { first: __typename second: __typename }"}</x:v>
      </x:c>
      <x:c r="G18" s="58" t="str">
        <x:v>Two aliases execute expensive work without suitable query-cost/rate controls; only claim if measurable impact/policy gap.</x:v>
      </x:c>
      <x:c r="H18" s="58" t="str">
        <x:v>Query complexity calculated after parsing including aliases and fragments.</x:v>
      </x:c>
      <x:c r="I18" s="58" t="str">
        <x:v>Burp Repeater</x:v>
      </x:c>
      <x:c r="J18" s="58" t="str">
        <x:v>DVGA local</x:v>
      </x:c>
      <x:c r="K18" s="58" t="str">
        <x:v>Small query, timing/cost if server metrics exist.</x:v>
      </x:c>
      <x:c r="L18" s="58" t="str">
        <x:v>https://cheatsheetseries.owasp.org/cheatsheets/GraphQL_Cheat_Sheet.html</x:v>
      </x:c>
      <x:c r="M18" s="58" t="str">
        <x:v>Not Started</x:v>
      </x:c>
      <x:c r="N18" s="58" t="str"/>
      <x:c r="O18" s="59" t="str"/>
    </x:row>
    <x:row r="19" ht="112" customHeight="1">
      <x:c r="A19" s="57" t="str">
        <x:v>GQL-15</x:v>
      </x:c>
      <x:c r="B19" s="58" t="str">
        <x:v>Login mutation rate control</x:v>
      </x:c>
      <x:c r="C19" s="58" t="str">
        <x:v>GraphQL login mutations may evade typical REST-path rate limits.</x:v>
      </x:c>
      <x:c r="D19" s="58" t="str">
        <x:v>Dedicated local auth lab; one known test account and wrong test password.</x:v>
      </x:c>
      <x:c r="E19" s="58" t="str">
        <x:v>1) Identify login mutation from schema/docs. 2) Submit a few (e.g. 3) invalid attempts at a normal pace. 3) Review response policy and limit headers; stop well before lockout/alerts.</x:v>
      </x:c>
      <x:c r="F19" s="58" t="str">
        <x:v>{"query":"mutation { login(username:\"test-user\", password:\"wrong-test-only\") { token } }"}
Adapt field names; no credential spraying.</x:v>
      </x:c>
      <x:c r="G19" s="58" t="str">
        <x:v>No throttling/policy on sensitive auth flow may be a risk; small sample alone is not proof of brute-force feasibility.</x:v>
      </x:c>
      <x:c r="H19" s="58" t="str">
        <x:v>Per-account/client/IP throttling, lockouts/risk-based controls and monitoring.</x:v>
      </x:c>
      <x:c r="I19" s="58" t="str">
        <x:v>Burp Repeater</x:v>
      </x:c>
      <x:c r="J19" s="58" t="str">
        <x:v>Dedicated local auth lab only</x:v>
      </x:c>
      <x:c r="K19" s="58" t="str">
        <x:v>Attempt count, intervals, status/headers, stated policy.</x:v>
      </x:c>
      <x:c r="L19" s="58" t="str">
        <x:v>https://cheatsheetseries.owasp.org/cheatsheets/GraphQL_Cheat_Sheet.html</x:v>
      </x:c>
      <x:c r="M19" s="58" t="str">
        <x:v>Not Started</x:v>
      </x:c>
      <x:c r="N19" s="58" t="str"/>
      <x:c r="O19" s="59" t="str"/>
    </x:row>
    <x:row r="20" ht="112" customHeight="1">
      <x:c r="A20" s="57" t="str">
        <x:v>GQL-16</x:v>
      </x:c>
      <x:c r="B20" s="58" t="str">
        <x:v>Verbose resolver error / stack trace</x:v>
      </x:c>
      <x:c r="C20" s="58" t="str">
        <x:v>Resolver exceptions may leak file paths, SQL, internal types or secrets.</x:v>
      </x:c>
      <x:c r="D20" s="58" t="str">
        <x:v>Use harmless invalid field/type input in local lab.</x:v>
      </x:c>
      <x:c r="E20" s="58" t="str">
        <x:v>1) Send unknown field or invalid scalar. 2) Trigger a controlled resolver validation failure. 3) Inspect error extensions and message.</x:v>
      </x:c>
      <x:c r="F20" s="58" t="str">
        <x:v>{"query":"{ unknownSafeTestField }"}</x:v>
      </x:c>
      <x:c r="G20" s="58" t="str">
        <x:v>Stack trace, source paths, SQL text, environment variables or token appears in response.</x:v>
      </x:c>
      <x:c r="H20" s="58" t="str">
        <x:v>Generic client errors with correlation ID; diagnostics only in protected logs.</x:v>
      </x:c>
      <x:c r="I20" s="58" t="str">
        <x:v>Burp Repeater</x:v>
      </x:c>
      <x:c r="J20" s="58" t="str">
        <x:v>DVGA local or owned staging</x:v>
      </x:c>
      <x:c r="K20" s="58" t="str">
        <x:v>Sanitized GraphQL `errors` response and triggering query.</x:v>
      </x:c>
      <x:c r="L20" s="58" t="str">
        <x:v>https://cheatsheetseries.owasp.org/cheatsheets/GraphQL_Cheat_Sheet.html</x:v>
      </x:c>
      <x:c r="M20" s="58" t="str">
        <x:v>Not Started</x:v>
      </x:c>
      <x:c r="N20" s="58" t="str"/>
      <x:c r="O20" s="59" t="str"/>
    </x:row>
    <x:row r="21" ht="112" customHeight="1">
      <x:c r="A21" s="57" t="str">
        <x:v>GQL-17</x:v>
      </x:c>
      <x:c r="B21" s="58" t="str">
        <x:v>Subscription authentication</x:v>
      </x:c>
      <x:c r="C21" s="58" t="str">
        <x:v>Subscription setup may omit or mishandle authentication context.</x:v>
      </x:c>
      <x:c r="D21" s="58" t="str">
        <x:v>If lab supports subscriptions, use two test identities and a disposable channel.</x:v>
      </x:c>
      <x:c r="E21" s="58" t="str">
        <x:v>1) Open a valid authorized subscription. 2) Repeat without/with invalid auth metadata. 3) Verify subscription is refused; don't subscribe to real channels.</x:v>
      </x:c>
      <x:c r="F21" s="58" t="str">
        <x:v>subscription { messageAdded(channelId:"&lt;TEST_CHANNEL&gt;") { id } }
Protocol transport varies; use lab-supported client.</x:v>
      </x:c>
      <x:c r="G21" s="58" t="str">
        <x:v>Unauthenticated user receives private event stream or can subscribe to restricted channel.</x:v>
      </x:c>
      <x:c r="H21" s="58" t="str">
        <x:v>Authenticate at connection and authorize each subscription/channel.</x:v>
      </x:c>
      <x:c r="I21" s="58" t="str">
        <x:v>Burp WebSocket history if transport is WS; otherwise GraphQL client</x:v>
      </x:c>
      <x:c r="J21" s="58" t="str">
        <x:v>DVGA supports subscriptions; local only.</x:v>
      </x:c>
      <x:c r="K21" s="58" t="str">
        <x:v>Connection handshake, identity, subscription result.</x:v>
      </x:c>
      <x:c r="L21" s="58" t="str">
        <x:v>https://github.com/dolevf/Damn-Vulnerable-GraphQL-Application</x:v>
      </x:c>
      <x:c r="M21" s="58" t="str">
        <x:v>Not Started</x:v>
      </x:c>
      <x:c r="N21" s="58" t="str"/>
      <x:c r="O21" s="59" t="str"/>
    </x:row>
    <x:row r="22" ht="112" customHeight="1">
      <x:c r="A22" s="57" t="str">
        <x:v>GQL-18</x:v>
      </x:c>
      <x:c r="B22" s="58" t="str">
        <x:v>Subscription cross-user / tenant leakage</x:v>
      </x:c>
      <x:c r="C22" s="58" t="str">
        <x:v>Private real-time events may be broadcast to the wrong subscribers.</x:v>
      </x:c>
      <x:c r="D22" s="58" t="str">
        <x:v>Two local users/channels with synthetic events.</x:v>
      </x:c>
      <x:c r="E22" s="58" t="str">
        <x:v>1) Subscribe User B to its own channel. 2) Generate a dummy event in User A's channel. 3) Check whether B receives A's event.</x:v>
      </x:c>
      <x:c r="F22" s="58" t="str">
        <x:v>subscription { messageAdded(channelId:"&lt;USER_A_TEST_CHANNEL&gt;") { id text } }</x:v>
      </x:c>
      <x:c r="G22" s="58" t="str">
        <x:v>User B receives an event for a channel they do not own or belong to.</x:v>
      </x:c>
      <x:c r="H22" s="58" t="str">
        <x:v>Authorize channel membership server-side and filter each event by permission.</x:v>
      </x:c>
      <x:c r="I22" s="58" t="str">
        <x:v>GraphQL client / Burp WebSocket if applicable</x:v>
      </x:c>
      <x:c r="J22" s="58" t="str">
        <x:v>DVGA local or owned GraphQL app</x:v>
      </x:c>
      <x:c r="K22" s="58" t="str">
        <x:v>A/B identities, event ID, delivered message evidence.</x:v>
      </x:c>
      <x:c r="L22" s="58" t="str">
        <x:v>https://cheatsheetseries.owasp.org/cheatsheets/GraphQL_Cheat_Sheet.html</x:v>
      </x:c>
      <x:c r="M22" s="58" t="str">
        <x:v>Not Started</x:v>
      </x:c>
      <x:c r="N22" s="58" t="str"/>
      <x:c r="O22" s="59" t="str"/>
    </x:row>
    <x:row r="23" ht="112" customHeight="1">
      <x:c r="A23" s="57" t="str">
        <x:v>GQL-19</x:v>
      </x:c>
      <x:c r="B23" s="58" t="str">
        <x:v>Directive / fragment authorization bypass</x:v>
      </x:c>
      <x:c r="C23" s="58" t="str">
        <x:v>Authorization checks based on naive string matching may be bypassed by fragments/directives or alternate query shape.</x:v>
      </x:c>
      <x:c r="D23" s="58" t="str">
        <x:v>Local lab where an authorization denylist or field policy is implemented; use safe read query.</x:v>
      </x:c>
      <x:c r="E23" s="58" t="str">
        <x:v>1) Establish denied field/operation baseline. 2) Re-express same harmless field via fragment or alias. 3) Compare access result.</x:v>
      </x:c>
      <x:c r="F23" s="58" t="str">
        <x:v>query { ...SafeFields }
fragment SafeFields on Query { &lt;restrictedField&gt; }</x:v>
      </x:c>
      <x:c r="G23" s="58" t="str">
        <x:v>Restricted field becomes accessible only when operation is restructured; confirm same authorization boundary.</x:v>
      </x:c>
      <x:c r="H23" s="58" t="str">
        <x:v>Authorization based on parsed schema/AST and resolver checks, not string matching.</x:v>
      </x:c>
      <x:c r="I23" s="58" t="str">
        <x:v>Burp Repeater</x:v>
      </x:c>
      <x:c r="J23" s="58" t="str">
        <x:v>DVGA scenario-specific lab only</x:v>
      </x:c>
      <x:c r="K23" s="58" t="str">
        <x:v>Baseline denial and alternate query result.</x:v>
      </x:c>
      <x:c r="L23" s="58" t="str">
        <x:v>https://cheatsheetseries.owasp.org/cheatsheets/GraphQL_Cheat_Sheet.html</x:v>
      </x:c>
      <x:c r="M23" s="58" t="str">
        <x:v>Not Started</x:v>
      </x:c>
      <x:c r="N23" s="58" t="str"/>
      <x:c r="O23" s="59" t="str"/>
    </x:row>
    <x:row r="24" ht="112" customHeight="1">
      <x:c r="A24" s="57" t="str">
        <x:v>GQL-20</x:v>
      </x:c>
      <x:c r="B24" s="58" t="str">
        <x:v>CORS / CSRF with cookie-authenticated GraphQL</x:v>
      </x:c>
      <x:c r="C24" s="58" t="str">
        <x:v>Browser-held cookies plus weak origin/CSRF protections may allow an unwanted site to issue mutations.</x:v>
      </x:c>
      <x:c r="D24" s="58" t="str">
        <x:v>Only if app uses browser cookies; use your own local origin and harmless mutation.</x:v>
      </x:c>
      <x:c r="E24" s="58" t="str">
        <x:v>1) Inspect SameSite cookie flags and CORS. 2) Review whether mutation endpoint requires CSRF token/origin checks. 3) Use a controlled local test page only if approved; don't target users.</x:v>
      </x:c>
      <x:c r="F24" s="58" t="str">
        <x:v>POST /graphql
Origin: https://untrusted.example.test
Content-Type: application/json
{"query":"mutation { updateDisplayName(name:\"PT-test\") { id } }"}</x:v>
      </x:c>
      <x:c r="G24" s="58" t="str">
        <x:v>Cross-origin request can execute authenticated state change under the actual browser cookie policy.</x:v>
      </x:c>
      <x:c r="H24" s="58" t="str">
        <x:v>Use secure SameSite cookies, CSRF defense for cookie-authenticated writes, strict origins and appropriate content-type handling.</x:v>
      </x:c>
      <x:c r="I24" s="58" t="str">
        <x:v>Burp Repeater + local browser/origin</x:v>
      </x:c>
      <x:c r="J24" s="58" t="str">
        <x:v>Owned local/staging GraphQL app only</x:v>
      </x:c>
      <x:c r="K24" s="58" t="str">
        <x:v>Cookie attributes, CORS headers, safe mutation result.</x:v>
      </x:c>
      <x:c r="L24" s="58" t="str">
        <x:v>https://cheatsheetseries.owasp.org/cheatsheets/GraphQL_Cheat_Sheet.html</x:v>
      </x:c>
      <x:c r="M24" s="58" t="str">
        <x:v>Not Started</x:v>
      </x:c>
      <x:c r="N24" s="58" t="str"/>
      <x:c r="O24" s="59" t="str"/>
    </x:row>
    <x:row r="25" ht="112" customHeight="1">
      <x:c r="A25" s="57" t="str">
        <x:v>GQL-21</x:v>
      </x:c>
      <x:c r="B25" s="58" t="str">
        <x:v>Persisted query / allowlist enforcement</x:v>
      </x:c>
      <x:c r="C25" s="58" t="str">
        <x:v>Persisted-query deployments may accidentally accept arbitrary operation text when only registered queries should be allowed.</x:v>
      </x:c>
      <x:c r="D25" s="58" t="str">
        <x:v>Use owned GraphQL app configured to require persisted queries.</x:v>
      </x:c>
      <x:c r="E25" s="58" t="str">
        <x:v>1) Send a known registered query per docs. 2) Send a minimal unregistered harmless query (`__typename`). 3) Compare policy.</x:v>
      </x:c>
      <x:c r="F25" s="58" t="str">
        <x:v>{"query":"{ __typename }"}</x:v>
      </x:c>
      <x:c r="G25" s="58" t="str">
        <x:v>Unregistered query accepted where allowlist-only policy is explicitly required; if arbitrary queries are intended this is not a finding.</x:v>
      </x:c>
      <x:c r="H25" s="58" t="str">
        <x:v>Enforce persisted operation IDs server-side where allowlist mode is required; do not treat persisted queries as authorization.</x:v>
      </x:c>
      <x:c r="I25" s="58" t="str">
        <x:v>Burp Repeater</x:v>
      </x:c>
      <x:c r="J25" s="58" t="str">
        <x:v>Company staging only if persisted-query policy is documented</x:v>
      </x:c>
      <x:c r="K25" s="58" t="str">
        <x:v>Policy, registered vs unregistered behavior.</x:v>
      </x:c>
      <x:c r="L25" s="58" t="str">
        <x:v>https://cheatsheetseries.owasp.org/cheatsheets/GraphQL_Cheat_Sheet.html</x:v>
      </x:c>
      <x:c r="M25" s="58" t="str">
        <x:v>Not Started</x:v>
      </x:c>
      <x:c r="N25" s="58" t="str"/>
      <x:c r="O25" s="59" t="str"/>
    </x:row>
    <x:row r="26" ht="112" customHeight="1">
      <x:c r="A26" s="60" t="str">
        <x:v>GQL-22</x:v>
      </x:c>
      <x:c r="B26" s="61" t="str">
        <x:v>Cross-operation authorization consistency</x:v>
      </x:c>
      <x:c r="C26" s="61" t="str">
        <x:v>The same data may be protected in one query but exposed via another query, search, node or mutation return field.</x:v>
      </x:c>
      <x:c r="D26" s="61" t="str">
        <x:v>Map schema operations returning the same test object.</x:v>
      </x:c>
      <x:c r="E26" s="61" t="str">
        <x:v>1) Find all documented paths to read the same dummy object. 2) Compare direct lookup, nested relation and search result as User B. 3) Check each path against the same role matrix.</x:v>
      </x:c>
      <x:c r="F26" s="61" t="str">
        <x:v>query { searchUsers(term:"&lt;TEST_MARKER&gt;") { id name } }
Replace with real local schema operation.</x:v>
      </x:c>
      <x:c r="G26" s="61" t="str">
        <x:v>Alternate resolver returns private object or fields while primary resolver denies them.</x:v>
      </x:c>
      <x:c r="H26" s="61" t="str">
        <x:v>Share consistent authorization policy/service-layer checks across all resolvers.</x:v>
      </x:c>
      <x:c r="I26" s="61" t="str">
        <x:v>Burp Repeater</x:v>
      </x:c>
      <x:c r="J26" s="61" t="str">
        <x:v>DVGA/owned schema</x:v>
      </x:c>
      <x:c r="K26" s="61" t="str">
        <x:v>Operation list, role, equivalent object responses.</x:v>
      </x:c>
      <x:c r="L26" s="61" t="str">
        <x:v>https://owasp.org/projects/api-security-project/</x:v>
      </x:c>
      <x:c r="M26" s="61" t="str">
        <x:v>Not Started</x:v>
      </x:c>
      <x:c r="N26" s="61" t="str"/>
      <x:c r="O26" s="62" t="str"/>
    </x:row>
  </x:sheetData>
  <x:mergeCells>
    <x:mergeCell ref="A1:O1"/>
    <x:mergeCell ref="A2:O2"/>
    <x:mergeCell ref="A3:O3"/>
  </x:mergeCells>
  <x:conditionalFormatting sqref="M5:M26">
    <x:cfRule type="expression" dxfId="3" priority="1">
      <x:formula>M5="Fail"</x:formula>
    </x:cfRule>
    <x:cfRule type="expression" dxfId="4" priority="2">
      <x:formula>M5="Pass"</x:formula>
    </x:cfRule>
    <x:cfRule type="expression" dxfId="5" priority="3">
      <x:formula>M5="Blocked"</x:formula>
    </x:cfRule>
  </x:conditionalFormatting>
  <x:dataValidations count="1">
    <x:dataValidation type="list" sqref="M5:M26">
      <x:formula1>"Not Started,In Progress,Pass,Fail,Blocked,N/A"</x:formula1>
    </x:dataValidation>
  </x:dataValidations>
  <x:pageMargins left="0.7" right="0.7" top="0.75" bottom="0.75" header="0.3" footer="0.3"/>
  <x:tableParts count="1">
    <x:tablePart xmlns:r="http://schemas.openxmlformats.org/officeDocument/2006/relationships" r:id="R2550804cfe99487f"/>
  </x:tableParts>
</x:worksheet>
</file>

<file path=xl/worksheets/sheet3.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27" hidden="0" customWidth="1"/>
    <x:col min="3" max="3" width="37" hidden="0" customWidth="1"/>
    <x:col min="4" max="4" width="34" hidden="0" customWidth="1"/>
    <x:col min="5" max="5" width="43" hidden="0" customWidth="1"/>
    <x:col min="6" max="6" width="40" hidden="0" customWidth="1"/>
    <x:col min="7" max="7" width="38" hidden="0" customWidth="1"/>
    <x:col min="8" max="8" width="34" hidden="0" customWidth="1"/>
    <x:col min="9" max="9" width="20" hidden="0" customWidth="1"/>
    <x:col min="10" max="10" width="33" hidden="0" customWidth="1"/>
    <x:col min="11" max="11" width="32" hidden="0" customWidth="1"/>
    <x:col min="12" max="12" width="36" hidden="0" customWidth="1"/>
    <x:col min="13" max="13" width="16" hidden="0" customWidth="1"/>
    <x:col min="14" max="14" width="14" hidden="0" customWidth="1"/>
    <x:col min="15" max="15" width="30" hidden="0" customWidth="1"/>
  </x:cols>
  <x:sheetData>
    <x:row r="1" ht="34" customHeight="1">
      <x:c r="A1" s="5" t="str">
        <x:v>gRPC — hands-on security test cases</x:v>
      </x:c>
      <x:c r="B1" s="5"/>
      <x:c r="C1" s="5"/>
      <x:c r="D1" s="5"/>
      <x:c r="E1" s="5"/>
      <x:c r="F1" s="5"/>
      <x:c r="G1" s="5"/>
      <x:c r="H1" s="5"/>
      <x:c r="I1" s="5"/>
      <x:c r="J1" s="5"/>
      <x:c r="K1" s="5"/>
      <x:c r="L1" s="5"/>
      <x:c r="M1" s="5"/>
      <x:c r="N1" s="5"/>
      <x:c r="O1" s="5"/>
    </x:row>
    <x:row r="2" ht="34" customHeight="1">
      <x:c r="A2" s="13" t="str">
        <x:v>18 test cases · gRPC Goat local Docker labs; use the matching .proto files</x:v>
      </x:c>
      <x:c r="B2" s="13"/>
      <x:c r="C2" s="13"/>
      <x:c r="D2" s="13"/>
      <x:c r="E2" s="13"/>
      <x:c r="F2" s="13"/>
      <x:c r="G2" s="13"/>
      <x:c r="H2" s="13"/>
      <x:c r="I2" s="13"/>
      <x:c r="J2" s="13"/>
      <x:c r="K2" s="13"/>
      <x:c r="L2" s="13"/>
      <x:c r="M2" s="13"/>
      <x:c r="N2" s="13"/>
      <x:c r="O2" s="13"/>
    </x:row>
    <x:row r="3" ht="32" customHeight="1">
      <x:c r="A3" s="21" t="str">
        <x:v>Use only authorized targets. Local-lab examples are intentional training scenarios; placeholders and schema names must be adapted to the running lab. A suspected result is not a confirmed finding until impact is validated.</x:v>
      </x:c>
      <x:c r="B3" s="21"/>
      <x:c r="C3" s="21"/>
      <x:c r="D3" s="21"/>
      <x:c r="E3" s="21"/>
      <x:c r="F3" s="21"/>
      <x:c r="G3" s="21"/>
      <x:c r="H3" s="21"/>
      <x:c r="I3" s="21"/>
      <x:c r="J3" s="21"/>
      <x:c r="K3" s="21"/>
      <x:c r="L3" s="21"/>
      <x:c r="M3" s="21"/>
      <x:c r="N3" s="21"/>
      <x:c r="O3" s="21"/>
    </x:row>
    <x:row r="4" ht="38" customHeight="1">
      <x:c r="A4" s="30" t="str">
        <x:v>Test ID</x:v>
      </x:c>
      <x:c r="B4" s="30" t="str">
        <x:v>Vulnerability Name</x:v>
      </x:c>
      <x:c r="C4" s="30" t="str">
        <x:v>Description / Risk</x:v>
      </x:c>
      <x:c r="D4" s="30" t="str">
        <x:v>Prerequisites / Test Data</x:v>
      </x:c>
      <x:c r="E4" s="30" t="str">
        <x:v>Hands-on Steps</x:v>
      </x:c>
      <x:c r="F4" s="30" t="str">
        <x:v>Example Request / Payload / Command</x:v>
      </x:c>
      <x:c r="G4" s="30" t="str">
        <x:v>How to Identify / Validation</x:v>
      </x:c>
      <x:c r="H4" s="30" t="str">
        <x:v>Expected Secure Behaviour</x:v>
      </x:c>
      <x:c r="I4" s="30" t="str">
        <x:v>Tools</x:v>
      </x:c>
      <x:c r="J4" s="30" t="str">
        <x:v>Demo Lab / Target</x:v>
      </x:c>
      <x:c r="K4" s="30" t="str">
        <x:v>Evidence to Capture</x:v>
      </x:c>
      <x:c r="L4" s="30" t="str">
        <x:v>Source / Reference URL</x:v>
      </x:c>
      <x:c r="M4" s="30" t="str">
        <x:v>Status</x:v>
      </x:c>
      <x:c r="N4" s="30" t="str">
        <x:v>Finding ID</x:v>
      </x:c>
      <x:c r="O4" s="30" t="str">
        <x:v>Tester Notes</x:v>
      </x:c>
    </x:row>
    <x:row r="5" ht="112" customHeight="1">
      <x:c r="A5" s="54" t="str">
        <x:v>GRPC-01</x:v>
      </x:c>
      <x:c r="B5" s="55" t="str">
        <x:v>Server reflection exposed</x:v>
      </x:c>
      <x:c r="C5" s="55" t="str">
        <x:v>Reflection may enumerate service and method names without the intended schema access control.</x:v>
      </x:c>
      <x:c r="D5" s="55" t="str">
        <x:v>Install Docker, clone gRPC Goat, run `docker compose up --build` from repo; test lab 001 only.</x:v>
      </x:c>
      <x:c r="E5" s="55" t="str">
        <x:v>1) Confirm lab 001 is running. 2) Run grpcurl reflection listing. 3) Compare discovered services with intended policy. 4) Do not run against company services without authorization.</x:v>
      </x:c>
      <x:c r="F5" s="55" t="str">
        <x:v>grpcurl -plaintext localhost:8001 list
Optional: grpcurl -plaintext localhost:8001 describe &lt;Service&gt;</x:v>
      </x:c>
      <x:c r="G5" s="55" t="str">
        <x:v>A service/method listing is available while production policy says reflection should be disabled/restricted; reflection itself can be intentional in dev.</x:v>
      </x:c>
      <x:c r="H5" s="55" t="str">
        <x:v>Disable reflection in production or restrict it to trusted developer networks; still protect every method.</x:v>
      </x:c>
      <x:c r="I5" s="55" t="str">
        <x:v>grpcurl; Burp only if traffic support fits</x:v>
      </x:c>
      <x:c r="J5" s="55" t="str">
        <x:v>gRPC Goat lab 001; https://github.com/rootxjs/grpc-goat</x:v>
      </x:c>
      <x:c r="K5" s="55" t="str">
        <x:v>Command output, target port/lab ID, environment and policy.</x:v>
      </x:c>
      <x:c r="L5" s="55" t="str">
        <x:v>https://github.com/rootxjs/grpc-goat</x:v>
      </x:c>
      <x:c r="M5" s="55" t="str">
        <x:v>Not Started</x:v>
      </x:c>
      <x:c r="N5" s="55" t="str"/>
      <x:c r="O5" s="56" t="str"/>
    </x:row>
    <x:row r="6" ht="112" customHeight="1">
      <x:c r="A6" s="57" t="str">
        <x:v>GRPC-02</x:v>
      </x:c>
      <x:c r="B6" s="58" t="str">
        <x:v>Plaintext gRPC / h2c</x:v>
      </x:c>
      <x:c r="C6" s="58" t="str">
        <x:v>Without TLS, credentials and message data may be observable on the network path.</x:v>
      </x:c>
      <x:c r="D6" s="58" t="str">
        <x:v>Use lab 002; local network only; never capture other people's traffic.</x:v>
      </x:c>
      <x:c r="E6" s="58" t="str">
        <x:v>1) Use the documented proto/client to make a harmless request to localhost:8002. 2) Verify the lab endpoint does not provide transport encryption. 3) If needed, capture only loopback lab traffic to demonstrate plaintext.</x:v>
      </x:c>
      <x:c r="F6" s="58" t="str">
        <x:v>grpcurl -plaintext -proto protos/lab-002-auth.proto -d '{"username":"admin","password":"password"}' localhost:8002 auth.AuthService/Login
Use lab README credentials only.</x:v>
      </x:c>
      <x:c r="G6" s="58" t="str">
        <x:v>Connection works without TLS and sensitive messages are transmitted in plaintext on the lab path; do not infer from `-plaintext` alone without observing service config/traffic.</x:v>
      </x:c>
      <x:c r="H6" s="58" t="str">
        <x:v>Require TLS/mTLS as appropriate; do not put real credentials on plaintext transports.</x:v>
      </x:c>
      <x:c r="I6" s="58" t="str">
        <x:v>grpcurl; local packet capture only</x:v>
      </x:c>
      <x:c r="J6" s="58" t="str">
        <x:v>gRPC Goat lab 002; localhost only.</x:v>
      </x:c>
      <x:c r="K6" s="58" t="str">
        <x:v>Lab ID, transport config and sanitized local capture showing protocol/absence of encryption.</x:v>
      </x:c>
      <x:c r="L6" s="58" t="str">
        <x:v>https://github.com/rootxjs/grpc-goat</x:v>
      </x:c>
      <x:c r="M6" s="58" t="str">
        <x:v>Not Started</x:v>
      </x:c>
      <x:c r="N6" s="58" t="str"/>
      <x:c r="O6" s="59" t="str"/>
    </x:row>
    <x:row r="7" ht="112" customHeight="1">
      <x:c r="A7" s="57" t="str">
        <x:v>GRPC-03</x:v>
      </x:c>
      <x:c r="B7" s="58" t="str">
        <x:v>Insecure TLS / certificate validation</x:v>
      </x:c>
      <x:c r="C7" s="58" t="str">
        <x:v>Clients may trust expired, wrong-host or untrusted certificates, allowing interception.</x:v>
      </x:c>
      <x:c r="D7" s="58" t="str">
        <x:v>Use gRPC Goat lab 003 and test certificates documented by lab.</x:v>
      </x:c>
      <x:c r="E7" s="58" t="str">
        <x:v>1) Connect using the standard client validation path. 2) Compare valid CA/hostname with the lab's invalid certificate case. 3) Do not disable certificate verification in production clients.</x:v>
      </x:c>
      <x:c r="F7" s="58" t="str">
        <x:v>grpcurl -cacert &lt;trusted-lab-ca.pem&gt; localhost:8003 list
Follow lab docs for the expected invalid-certificate probe.</x:v>
      </x:c>
      <x:c r="G7" s="58" t="str">
        <x:v>Client accepts wrong/untrusted certificate or server presents invalid certificate while connection is treated as trusted.</x:v>
      </x:c>
      <x:c r="H7" s="58" t="str">
        <x:v>Validate chain, hostname/SAN, validity period and trust anchor; do not use insecure skip-verify in production.</x:v>
      </x:c>
      <x:c r="I7" s="58" t="str">
        <x:v>grpcurl and lab certificate files</x:v>
      </x:c>
      <x:c r="J7" s="58" t="str">
        <x:v>gRPC Goat lab 003.</x:v>
      </x:c>
      <x:c r="K7" s="58" t="str">
        <x:v>Certificate subject/SAN/issuer/expiry and client validation result.</x:v>
      </x:c>
      <x:c r="L7" s="58" t="str">
        <x:v>https://github.com/rootxjs/grpc-goat</x:v>
      </x:c>
      <x:c r="M7" s="58" t="str">
        <x:v>Not Started</x:v>
      </x:c>
      <x:c r="N7" s="58" t="str"/>
      <x:c r="O7" s="59" t="str"/>
    </x:row>
    <x:row r="8" ht="112" customHeight="1">
      <x:c r="A8" s="57" t="str">
        <x:v>GRPC-04</x:v>
      </x:c>
      <x:c r="B8" s="58" t="str">
        <x:v>mTLS missing client certificate</x:v>
      </x:c>
      <x:c r="C8" s="58" t="str">
        <x:v>Server may fail to require a client identity on an mTLS-protected service.</x:v>
      </x:c>
      <x:c r="D8" s="58" t="str">
        <x:v>Use lab 004/005 only; obtain certificates from local lab docs.</x:v>
      </x:c>
      <x:c r="E8" s="58" t="str">
        <x:v>1) Connect without a client certificate. 2) Connect with the lab's intended valid certificate. 3) Compare outcomes and service policy.</x:v>
      </x:c>
      <x:c r="F8" s="58" t="str">
        <x:v>grpcurl -cacert &lt;lab-ca.pem&gt; localhost:8004 &lt;package.Service/Method&gt;
Run once without `-cert/-key`, then with lab-issued pair if docs require it.</x:v>
      </x:c>
      <x:c r="G8" s="58" t="str">
        <x:v>Protected RPC succeeds with no client certificate even though policy requires mTLS.</x:v>
      </x:c>
      <x:c r="H8" s="58" t="str">
        <x:v>Require a trusted client certificate and bind certificate identity to an authorized principal.</x:v>
      </x:c>
      <x:c r="I8" s="58" t="str">
        <x:v>grpcurl</x:v>
      </x:c>
      <x:c r="J8" s="58" t="str">
        <x:v>gRPC Goat lab 004; localhost only.</x:v>
      </x:c>
      <x:c r="K8" s="58" t="str">
        <x:v>Comparison of no-cert and valid-cert results; no private key in report.</x:v>
      </x:c>
      <x:c r="L8" s="58" t="str">
        <x:v>https://github.com/rootxjs/grpc-goat</x:v>
      </x:c>
      <x:c r="M8" s="58" t="str">
        <x:v>Not Started</x:v>
      </x:c>
      <x:c r="N8" s="58" t="str"/>
      <x:c r="O8" s="59" t="str"/>
    </x:row>
    <x:row r="9" ht="112" customHeight="1">
      <x:c r="A9" s="57" t="str">
        <x:v>GRPC-05</x:v>
      </x:c>
      <x:c r="B9" s="58" t="str">
        <x:v>mTLS subject / identity validation</x:v>
      </x:c>
      <x:c r="C9" s="58" t="str">
        <x:v>Server may accept any CA-valid client certificate without checking required subject/identity mapping.</x:v>
      </x:c>
      <x:c r="D9" s="58" t="str">
        <x:v>Use gRPC Goat lab 005; use only certificates included/generated for this lab.</x:v>
      </x:c>
      <x:c r="E9" s="58" t="str">
        <x:v>1) Test the intended client cert. 2) Test the lab's validly signed but wrong-subject cert as documented. 3) Compare method access.</x:v>
      </x:c>
      <x:c r="F9" s="58" t="str">
        <x:v>grpcurl -cacert &lt;lab-ca.pem&gt; -cert &lt;wrong-subject-lab-cert.pem&gt; -key &lt;lab-key.pem&gt; localhost:8005 &lt;Service/Method&gt;</x:v>
      </x:c>
      <x:c r="G9" s="58" t="str">
        <x:v>Wrong subject/principal is accepted where allowlisting is required.</x:v>
      </x:c>
      <x:c r="H9" s="58" t="str">
        <x:v>Validate chain AND authorized identity/subject/SAN mapping; certificate validity alone is not authorization.</x:v>
      </x:c>
      <x:c r="I9" s="58" t="str">
        <x:v>grpcurl; certificate inspection</x:v>
      </x:c>
      <x:c r="J9" s="58" t="str">
        <x:v>gRPC Goat lab 005.</x:v>
      </x:c>
      <x:c r="K9" s="58" t="str">
        <x:v>Sanitized cert subject/SAN and access results for intended vs wrong identity.</x:v>
      </x:c>
      <x:c r="L9" s="58" t="str">
        <x:v>https://github.com/rootxjs/grpc-goat</x:v>
      </x:c>
      <x:c r="M9" s="58" t="str">
        <x:v>Not Started</x:v>
      </x:c>
      <x:c r="N9" s="58" t="str"/>
      <x:c r="O9" s="59" t="str"/>
    </x:row>
    <x:row r="10" ht="112" customHeight="1">
      <x:c r="A10" s="57" t="str">
        <x:v>GRPC-06</x:v>
      </x:c>
      <x:c r="B10" s="58" t="str">
        <x:v>RPC method-level authorization</x:v>
      </x:c>
      <x:c r="C10" s="58" t="str">
        <x:v>Auth may be enforced for one RPC but missing on another method in same service.</x:v>
      </x:c>
      <x:c r="D10" s="58" t="str">
        <x:v>Use test credentials and service/method list from `.proto`; choose a harmless read RPC or disposable object.</x:v>
      </x:c>
      <x:c r="E10" s="58" t="str">
        <x:v>1) Call permitted method with low-privilege token. 2) Call a documented privileged method with same token. 3) Repeat without metadata. 4) Stop before destructive operation.</x:v>
      </x:c>
      <x:c r="F10" s="58" t="str">
        <x:v>grpcurl -H 'authorization: Bearer &lt;LOW_PRIV_TEST_TOKEN&gt;' -d '{}' localhost:&lt;PORT&gt; package.Service/ReadSensitive
Adapt method to the local schema.</x:v>
      </x:c>
      <x:c r="G10" s="58" t="str">
        <x:v>Protected RPC returns private data or executes a privileged function for an unauthorized principal.</x:v>
      </x:c>
      <x:c r="H10" s="58" t="str">
        <x:v>Per-method authorization on the server; do not rely on UI/client hiding methods.</x:v>
      </x:c>
      <x:c r="I10" s="58" t="str">
        <x:v>grpcurl; `.proto` definitions</x:v>
      </x:c>
      <x:c r="J10" s="58" t="str">
        <x:v>gRPC Goat or owned local gRPC service; use lab docs.</x:v>
      </x:c>
      <x:c r="K10" s="58" t="str">
        <x:v>Method, identity/role, status/trailers and effect.</x:v>
      </x:c>
      <x:c r="L10" s="58" t="str">
        <x:v>https://github.com/OWASP/www-project-api-security-testing-framework/blob/main/docs/TESTING_GUIDELINES.md</x:v>
      </x:c>
      <x:c r="M10" s="58" t="str">
        <x:v>Not Started</x:v>
      </x:c>
      <x:c r="N10" s="58" t="str"/>
      <x:c r="O10" s="59" t="str"/>
    </x:row>
    <x:row r="11" ht="112" customHeight="1">
      <x:c r="A11" s="57" t="str">
        <x:v>GRPC-07</x:v>
      </x:c>
      <x:c r="B11" s="58" t="str">
        <x:v>BOLA on resource ID</x:v>
      </x:c>
      <x:c r="C11" s="58" t="str">
        <x:v>RPC may allow a caller to read another user's object by changing a protobuf ID field.</x:v>
      </x:c>
      <x:c r="D11" s="58" t="str">
        <x:v>Two lab users and two disposable objects; `.proto` required.</x:v>
      </x:c>
      <x:c r="E11" s="58" t="str">
        <x:v>1) Capture a request for User A's object. 2) Call same RPC with User B credentials and A's test ID. 3) Verify response object ownership.</x:v>
      </x:c>
      <x:c r="F11" s="58" t="str">
        <x:v>grpcurl -H 'authorization: Bearer &lt;USER_B_TOKEN&gt;' -d '{"id":"&lt;USER_A_TEST_ID&gt;"}' localhost:&lt;PORT&gt; package.Service/GetRecord</x:v>
      </x:c>
      <x:c r="G11" s="58" t="str">
        <x:v>User B sees A's private record contrary to documented policy.</x:v>
      </x:c>
      <x:c r="H11" s="58" t="str">
        <x:v>Perform object-level checks inside every RPC using authenticated identity and resource owner.</x:v>
      </x:c>
      <x:c r="I11" s="58" t="str">
        <x:v>grpcurl + `.proto`</x:v>
      </x:c>
      <x:c r="J11" s="58" t="str">
        <x:v>Local gRPC lab/owned service; do not guess IDs on production.</x:v>
      </x:c>
      <x:c r="K11" s="58" t="str">
        <x:v>A/B account mapping, sanitized protobuf JSON request and response.</x:v>
      </x:c>
      <x:c r="L11" s="58" t="str">
        <x:v>https://owasp.org/projects/api-security-project/</x:v>
      </x:c>
      <x:c r="M11" s="58" t="str">
        <x:v>Not Started</x:v>
      </x:c>
      <x:c r="N11" s="58" t="str"/>
      <x:c r="O11" s="59" t="str"/>
    </x:row>
    <x:row r="12" ht="112" customHeight="1">
      <x:c r="A12" s="57" t="str">
        <x:v>GRPC-08</x:v>
      </x:c>
      <x:c r="B12" s="58" t="str">
        <x:v>Protobuf field / mass assignment</x:v>
      </x:c>
      <x:c r="C12" s="58" t="str">
        <x:v>Server may trust caller-supplied owner, role or privileged state fields present in a protobuf message.</x:v>
      </x:c>
      <x:c r="D12" s="58" t="str">
        <x:v>Inspect actual `.proto` for fields; disposable test data.</x:v>
      </x:c>
      <x:c r="E12" s="58" t="str">
        <x:v>1) Send normal create/update request. 2) Add a schema-defined owner/role/state field if present. 3) Verify whether server persists it; protobuf does not allow arbitrary unknown fields in normal JSON parsing.</x:v>
      </x:c>
      <x:c r="F12" s="58" t="str">
        <x:v>grpcurl -d '{"name":"PT-test","ownerId":"&lt;OTHER_TEST_ID&gt;"}' localhost:&lt;PORT&gt; package.Service/CreateThing
Field names are illustrative; use the actual `.proto`.</x:v>
      </x:c>
      <x:c r="G12" s="58" t="str">
        <x:v>Caller changes owner/role/privileged field despite policy forbidding it.</x:v>
      </x:c>
      <x:c r="H12" s="58" t="str">
        <x:v>Use server-side identity for ownership and allowlist mutable fields; validate domain invariants.</x:v>
      </x:c>
      <x:c r="I12" s="58" t="str">
        <x:v>grpcurl; `.proto`</x:v>
      </x:c>
      <x:c r="J12" s="58" t="str">
        <x:v>Local lab / owned gRPC service</x:v>
      </x:c>
      <x:c r="K12" s="58" t="str">
        <x:v>Schema field, request, before/after object ownership.</x:v>
      </x:c>
      <x:c r="L12" s="58" t="str">
        <x:v>https://github.com/OWASP/www-project-api-security-testing-framework/blob/main/docs/TESTING_GUIDELINES.md</x:v>
      </x:c>
      <x:c r="M12" s="58" t="str">
        <x:v>Not Started</x:v>
      </x:c>
      <x:c r="N12" s="58" t="str"/>
      <x:c r="O12" s="59" t="str"/>
    </x:row>
    <x:row r="13" ht="112" customHeight="1">
      <x:c r="A13" s="57" t="str">
        <x:v>GRPC-09</x:v>
      </x:c>
      <x:c r="B13" s="58" t="str">
        <x:v>Protobuf validation / boundary conditions</x:v>
      </x:c>
      <x:c r="C13" s="58" t="str">
        <x:v>Missing required domain fields, unexpected enum values or invalid ranges may reach backend unvalidated.</x:v>
      </x:c>
      <x:c r="D13" s="58" t="str">
        <x:v>Use `.proto` and a harmless method with disposable request.</x:v>
      </x:c>
      <x:c r="E13" s="58" t="str">
        <x:v>1) Baseline with valid message. 2) Test omitted field, empty string, negative/boundary numeric value or unknown enum where client permits. 3) Keep payload small.</x:v>
      </x:c>
      <x:c r="F13" s="58" t="str">
        <x:v>grpcurl -d '{"quantity":-1}' localhost:&lt;PORT&gt; package.Service/CreateTestItem</x:v>
      </x:c>
      <x:c r="G13" s="58" t="str">
        <x:v>Server accepts invalid business state or crashes/leaks implementation errors.</x:v>
      </x:c>
      <x:c r="H13" s="58" t="str">
        <x:v>Validate semantic constraints server-side; use protobuf validation and domain checks.</x:v>
      </x:c>
      <x:c r="I13" s="58" t="str">
        <x:v>grpcurl</x:v>
      </x:c>
      <x:c r="J13" s="58" t="str">
        <x:v>Local lab/owned service</x:v>
      </x:c>
      <x:c r="K13" s="58" t="str">
        <x:v>Request, gRPC status/message and persisted state if relevant.</x:v>
      </x:c>
      <x:c r="L13" s="58" t="str">
        <x:v>https://github.com/OWASP/www-project-api-security-testing-framework/blob/main/docs/TESTING_GUIDELINES.md</x:v>
      </x:c>
      <x:c r="M13" s="58" t="str">
        <x:v>Not Started</x:v>
      </x:c>
      <x:c r="N13" s="58" t="str"/>
      <x:c r="O13" s="59" t="str"/>
    </x:row>
    <x:row r="14" ht="112" customHeight="1">
      <x:c r="A14" s="57" t="str">
        <x:v>GRPC-10</x:v>
      </x:c>
      <x:c r="B14" s="58" t="str">
        <x:v>Injection in RPC input</x:v>
      </x:c>
      <x:c r="C14" s="58" t="str">
        <x:v>String fields may be incorporated into SQL, shell, template or downstream query unsafely.</x:v>
      </x:c>
      <x:c r="D14" s="58" t="str">
        <x:v>Use gRPC Goat lab 007 for SQLi or lab 008 for command-injection learning; follow only official lab walkthrough and use test data.</x:v>
      </x:c>
      <x:c r="E14" s="58" t="str">
        <x:v>1) Identify the string field in the lab `.proto`. 2) Baseline with `PT-marker`. 3) Try quote/special character only as a detection probe. 4) Do not execute destructive shell commands or extract records.</x:v>
      </x:c>
      <x:c r="F14" s="58" t="str">
        <x:v>grpcurl -plaintext -proto &lt;lab.proto&gt; -d '{"name":"PT-marker'"}' localhost:&lt;PORT&gt; &lt;Service/Method&gt;
Fix JSON/quote escaping for your shell; use the lab guide.</x:v>
      </x:c>
      <x:c r="G14" s="58" t="str">
        <x:v>Reproducible safe error/behavior differential tied to input; confirm root cause from lab context, not a single error.</x:v>
      </x:c>
      <x:c r="H14" s="58" t="str">
        <x:v>Parameterized database calls, no shell concatenation, strict input validation.</x:v>
      </x:c>
      <x:c r="I14" s="58" t="str">
        <x:v>grpcurl</x:v>
      </x:c>
      <x:c r="J14" s="58" t="str">
        <x:v>gRPC Goat labs 007–008; local isolated services only.</x:v>
      </x:c>
      <x:c r="K14" s="58" t="str">
        <x:v>Baseline/test requests, gRPC status, sanitized result; no command output/data dump.</x:v>
      </x:c>
      <x:c r="L14" s="58" t="str">
        <x:v>https://github.com/rootxjs/grpc-goat</x:v>
      </x:c>
      <x:c r="M14" s="58" t="str">
        <x:v>Not Started</x:v>
      </x:c>
      <x:c r="N14" s="58" t="str"/>
      <x:c r="O14" s="59" t="str"/>
    </x:row>
    <x:row r="15" ht="112" customHeight="1">
      <x:c r="A15" s="57" t="str">
        <x:v>GRPC-11</x:v>
      </x:c>
      <x:c r="B15" s="58" t="str">
        <x:v>SSRF via RPC URL field</x:v>
      </x:c>
      <x:c r="C15" s="58" t="str">
        <x:v>RPC may accept a URL for fetch/proxy operations and let server access unintended resources.</x:v>
      </x:c>
      <x:c r="D15" s="58" t="str">
        <x:v>Use gRPC Goat lab 009 or an owned URL-fetch RPC; set up a harmless local callback listener.</x:v>
      </x:c>
      <x:c r="E15" s="58" t="str">
        <x:v>1) Capture normal request. 2) Provide only your controlled canary URL. 3) Verify callback logs. 4) Do not use cloud metadata IPs or internal production hosts.</x:v>
      </x:c>
      <x:c r="F15" s="58" t="str">
        <x:v>grpcurl -d '{"url":"http://&lt;YOUR-CONTROLLED-LAB-HOST&gt;:8080/canary"}' localhost:8009 &lt;Service/Method&gt;</x:v>
      </x:c>
      <x:c r="G15" s="58" t="str">
        <x:v>Controlled listener receives server-originated request; verify destination and impact within lab.</x:v>
      </x:c>
      <x:c r="H15" s="58" t="str">
        <x:v>Allowlist schemes/hosts; block internal/link-local ranges at network layer; validate redirects and DNS resolution.</x:v>
      </x:c>
      <x:c r="I15" s="58" t="str">
        <x:v>grpcurl + owned callback listener</x:v>
      </x:c>
      <x:c r="J15" s="58" t="str">
        <x:v>gRPC Goat lab 009, local; exact service/field from proto/docs.</x:v>
      </x:c>
      <x:c r="K15" s="58" t="str">
        <x:v>Canary log timestamp, RPC request/response and lab ID.</x:v>
      </x:c>
      <x:c r="L15" s="58" t="str">
        <x:v>https://github.com/rootxjs/grpc-goat</x:v>
      </x:c>
      <x:c r="M15" s="58" t="str">
        <x:v>Not Started</x:v>
      </x:c>
      <x:c r="N15" s="58" t="str"/>
      <x:c r="O15" s="59" t="str"/>
    </x:row>
    <x:row r="16" ht="112" customHeight="1">
      <x:c r="A16" s="57" t="str">
        <x:v>GRPC-12</x:v>
      </x:c>
      <x:c r="B16" s="58" t="str">
        <x:v>Deadline / timeout controls</x:v>
      </x:c>
      <x:c r="C16" s="58" t="str">
        <x:v>Missing deadlines may allow operations to hang and consume resources.</x:v>
      </x:c>
      <x:c r="D16" s="58" t="str">
        <x:v>Use a harmless slow/test method documented in lab; no load tests.</x:v>
      </x:c>
      <x:c r="E16" s="58" t="str">
        <x:v>1) Request a deliberately slow demo method with a short client deadline. 2) Observe cancellation and server handling. 3) Compare with normal bounded call.</x:v>
      </x:c>
      <x:c r="F16" s="58" t="str">
        <x:v>grpcurl -max-time 3 -d '{}' localhost:&lt;PORT&gt; package.Service/SlowDemo
Use only a documented test method.</x:v>
      </x:c>
      <x:c r="G16" s="58" t="str">
        <x:v>Server ignores cancellations or resource cleanup is missing; confirm using local logs/metrics.</x:v>
      </x:c>
      <x:c r="H16" s="58" t="str">
        <x:v>Set sensible server deadlines/timeouts, cancellation propagation and bounded downstream calls.</x:v>
      </x:c>
      <x:c r="I16" s="58" t="str">
        <x:v>grpcurl</x:v>
      </x:c>
      <x:c r="J16" s="58" t="str">
        <x:v>Local gRPC lab/owned test method</x:v>
      </x:c>
      <x:c r="K16" s="58" t="str">
        <x:v>Call duration, status, service logs/metrics.</x:v>
      </x:c>
      <x:c r="L16" s="58" t="str">
        <x:v>https://github.com/OWASP/www-project-api-security-testing-framework/blob/main/docs/TESTING_GUIDELINES.md</x:v>
      </x:c>
      <x:c r="M16" s="58" t="str">
        <x:v>Not Started</x:v>
      </x:c>
      <x:c r="N16" s="58" t="str"/>
      <x:c r="O16" s="59" t="str"/>
    </x:row>
    <x:row r="17" ht="112" customHeight="1">
      <x:c r="A17" s="57" t="str">
        <x:v>GRPC-13</x:v>
      </x:c>
      <x:c r="B17" s="58" t="str">
        <x:v>Streaming authorization persistence</x:v>
      </x:c>
      <x:c r="C17" s="58" t="str">
        <x:v>Streaming RPCs may not revalidate permissions after identity/session changes or authorize each item.</x:v>
      </x:c>
      <x:c r="D17" s="58" t="str">
        <x:v>Use local streaming lab and disposable channel/records.</x:v>
      </x:c>
      <x:c r="E17" s="58" t="str">
        <x:v>1) Start a stream with User A. 2) Attempt to request another user's stream/channel using a test ID. 3) Where revocation is supported, revoke test credential and verify stream handling.</x:v>
      </x:c>
      <x:c r="F17" s="58" t="str">
        <x:v>grpcurl -H 'authorization: Bearer &lt;TEST_TOKEN&gt;' -d '{"channel":"&lt;TEST_CHANNEL&gt;"}' localhost:&lt;PORT&gt; package.Service/Subscribe
Use exact streaming shape from proto.</x:v>
      </x:c>
      <x:c r="G17" s="58" t="str">
        <x:v>Stream sends unauthorized objects or remains active against a documented revocation policy.</x:v>
      </x:c>
      <x:c r="H17" s="58" t="str">
        <x:v>Authenticate stream and authorize every subscription/resource; cancel streams on revocation if required.</x:v>
      </x:c>
      <x:c r="I17" s="58" t="str">
        <x:v>grpcurl</x:v>
      </x:c>
      <x:c r="J17" s="58" t="str">
        <x:v>Local streaming service only.</x:v>
      </x:c>
      <x:c r="K17" s="58" t="str">
        <x:v>Stream request, received synthetic messages, revocation timing.</x:v>
      </x:c>
      <x:c r="L17" s="58" t="str">
        <x:v>https://github.com/OWASP/www-project-api-security-testing-framework/blob/main/docs/TESTING_GUIDELINES.md</x:v>
      </x:c>
      <x:c r="M17" s="58" t="str">
        <x:v>Not Started</x:v>
      </x:c>
      <x:c r="N17" s="58" t="str"/>
      <x:c r="O17" s="59" t="str"/>
    </x:row>
    <x:row r="18" ht="112" customHeight="1">
      <x:c r="A18" s="57" t="str">
        <x:v>GRPC-14</x:v>
      </x:c>
      <x:c r="B18" s="58" t="str">
        <x:v>Sensitive errors in grpc-message / trailers</x:v>
      </x:c>
      <x:c r="C18" s="58" t="str">
        <x:v>Detailed status messages or metadata can reveal internals.</x:v>
      </x:c>
      <x:c r="D18" s="58" t="str">
        <x:v>Trigger one malformed but harmless request in lab.</x:v>
      </x:c>
      <x:c r="E18" s="58" t="str">
        <x:v>1) Send wrong type/unknown enum or missing field. 2) Inspect `grpc-status`, `grpc-message`, trailers and logs. 3) Redact any secret.</x:v>
      </x:c>
      <x:c r="F18" s="58" t="str">
        <x:v>grpcurl -v -d '{}' localhost:&lt;PORT&gt; package.Service/ExpectedInputMethod</x:v>
      </x:c>
      <x:c r="G18" s="58" t="str">
        <x:v>Stack trace, file path, SQL/query or secret is sent to client in trailers/status.</x:v>
      </x:c>
      <x:c r="H18" s="58" t="str">
        <x:v>Return safe status details and correlation ID; retain internals only in protected logs.</x:v>
      </x:c>
      <x:c r="I18" s="58" t="str">
        <x:v>grpcurl -v</x:v>
      </x:c>
      <x:c r="J18" s="58" t="str">
        <x:v>Local lab or owned staging.</x:v>
      </x:c>
      <x:c r="K18" s="58" t="str">
        <x:v>Sanitized verbose client output and request.</x:v>
      </x:c>
      <x:c r="L18" s="58" t="str">
        <x:v>https://github.com/OWASP/www-project-api-security-testing-framework/blob/main/docs/TESTING_GUIDELINES.md</x:v>
      </x:c>
      <x:c r="M18" s="58" t="str">
        <x:v>Not Started</x:v>
      </x:c>
      <x:c r="N18" s="58" t="str"/>
      <x:c r="O18" s="59" t="str"/>
    </x:row>
    <x:row r="19" ht="112" customHeight="1">
      <x:c r="A19" s="57" t="str">
        <x:v>GRPC-15</x:v>
      </x:c>
      <x:c r="B19" s="58" t="str">
        <x:v>Error-code-based user enumeration</x:v>
      </x:c>
      <x:c r="C19" s="58" t="str">
        <x:v>Different status codes/messages can reveal account existence or permission state.</x:v>
      </x:c>
      <x:c r="D19" s="58" t="str">
        <x:v>Use self-created known and made-up usernames; no brute-force.</x:v>
      </x:c>
      <x:c r="E19" s="58" t="str">
        <x:v>1) Invoke authentication/lookup once with known dummy user and once with nonexistent dummy user. 2) Compare status code/message. 3) Assess information needed by intended client.</x:v>
      </x:c>
      <x:c r="F19" s="58" t="str">
        <x:v>grpcurl -d '{"username":"known-test-user"}' localhost:&lt;PORT&gt; package.AuthService/LookupUser</x:v>
      </x:c>
      <x:c r="G19" s="58" t="str">
        <x:v>Responses reveal sensitive existence where policy requires indistinguishable errors; context matters.</x:v>
      </x:c>
      <x:c r="H19" s="58" t="str">
        <x:v>Use consistent public error shape where appropriate, logging details server-side.</x:v>
      </x:c>
      <x:c r="I19" s="58" t="str">
        <x:v>grpcurl</x:v>
      </x:c>
      <x:c r="J19" s="58" t="str">
        <x:v>Local auth lab only</x:v>
      </x:c>
      <x:c r="K19" s="58" t="str">
        <x:v>Paired status and messages, attempt counts.</x:v>
      </x:c>
      <x:c r="L19" s="58" t="str">
        <x:v>https://owasp.org/projects/api-security-project/</x:v>
      </x:c>
      <x:c r="M19" s="58" t="str">
        <x:v>Not Started</x:v>
      </x:c>
      <x:c r="N19" s="58" t="str"/>
      <x:c r="O19" s="59" t="str"/>
    </x:row>
    <x:row r="20" ht="112" customHeight="1">
      <x:c r="A20" s="57" t="str">
        <x:v>GRPC-16</x:v>
      </x:c>
      <x:c r="B20" s="58" t="str">
        <x:v>Reflection / health endpoint exposure policy</x:v>
      </x:c>
      <x:c r="C20" s="58" t="str">
        <x:v>Health/reflection endpoints can reveal internal services or deployment state.</x:v>
      </x:c>
      <x:c r="D20" s="58" t="str">
        <x:v>Local lab; inspect only health/reflection services that exist.</x:v>
      </x:c>
      <x:c r="E20" s="58" t="str">
        <x:v>1) Run `grpcurl list`. 2) Check health service output if enabled. 3) Compare public vs internal endpoint policy; do not infer vulnerability without policy.</x:v>
      </x:c>
      <x:c r="F20" s="58" t="str">
        <x:v>grpcurl -plaintext localhost:8001 list
grpcurl -plaintext localhost:8001 grpc.health.v1.Health/Check</x:v>
      </x:c>
      <x:c r="G20" s="58" t="str">
        <x:v>Public exposure reveals service topology/health details beyond policy, or unauthenticated admin-like health controls exist.</x:v>
      </x:c>
      <x:c r="H20" s="58" t="str">
        <x:v>Restrict reflection and sensitive diagnostics; expose only minimum health detail needed.</x:v>
      </x:c>
      <x:c r="I20" s="58" t="str">
        <x:v>grpcurl</x:v>
      </x:c>
      <x:c r="J20" s="58" t="str">
        <x:v>gRPC Goat lab 001</x:v>
      </x:c>
      <x:c r="K20" s="58" t="str">
        <x:v>Service names and policy comparison.</x:v>
      </x:c>
      <x:c r="L20" s="58" t="str">
        <x:v>https://github.com/rootxjs/grpc-goat</x:v>
      </x:c>
      <x:c r="M20" s="58" t="str">
        <x:v>Not Started</x:v>
      </x:c>
      <x:c r="N20" s="58" t="str"/>
      <x:c r="O20" s="59" t="str"/>
    </x:row>
    <x:row r="21" ht="112" customHeight="1">
      <x:c r="A21" s="57" t="str">
        <x:v>GRPC-17</x:v>
      </x:c>
      <x:c r="B21" s="58" t="str">
        <x:v>Authentication metadata leakage</x:v>
      </x:c>
      <x:c r="C21" s="58" t="str">
        <x:v>Bearer tokens/custom metadata may be logged or returned to clients unintentionally.</x:v>
      </x:c>
      <x:c r="D21" s="58" t="str">
        <x:v>Review sanitized test request, verbose client logs and service logs in lab.</x:v>
      </x:c>
      <x:c r="E21" s="58" t="str">
        <x:v>1) Send one harmless call with test token. 2) Inspect client-visible response/trailers and approved server logs. 3) Search only lab logs for the dummy token string.</x:v>
      </x:c>
      <x:c r="F21" s="58" t="str">
        <x:v>grpcurl -H 'authorization: Bearer TEST_ONLY_TOKEN' -d '{}' localhost:&lt;PORT&gt; package.Service/Health</x:v>
      </x:c>
      <x:c r="G21" s="58" t="str">
        <x:v>Token appears in response, debug details or unprotected logs accessible to inappropriate roles.</x:v>
      </x:c>
      <x:c r="H21" s="58" t="str">
        <x:v>Redact authorization metadata at all logging layers; protect secrets and shorten token lifetimes.</x:v>
      </x:c>
      <x:c r="I21" s="58" t="str">
        <x:v>grpcurl -v; owned app logs</x:v>
      </x:c>
      <x:c r="J21" s="58" t="str">
        <x:v>Local lab or company staging using dummy token only.</x:v>
      </x:c>
      <x:c r="K21" s="58" t="str">
        <x:v>Redacted log location and evidence token was exposed (never include token itself).</x:v>
      </x:c>
      <x:c r="L21" s="58" t="str">
        <x:v>https://cheatsheetseries.owasp.org/cheatsheets/REST_Assessment_Cheat_Sheet.html</x:v>
      </x:c>
      <x:c r="M21" s="58" t="str">
        <x:v>Not Started</x:v>
      </x:c>
      <x:c r="N21" s="58" t="str"/>
      <x:c r="O21" s="59" t="str"/>
    </x:row>
    <x:row r="22" ht="112" customHeight="1">
      <x:c r="A22" s="60" t="str">
        <x:v>GRPC-18</x:v>
      </x:c>
      <x:c r="B22" s="61" t="str">
        <x:v>Retry / duplicate side effect</x:v>
      </x:c>
      <x:c r="C22" s="61" t="str">
        <x:v>RPC retries can execute a non-idempotent operation more than once.</x:v>
      </x:c>
      <x:c r="D22" s="61" t="str">
        <x:v>Use a local test method that creates a dummy record; no payments/emails.</x:v>
      </x:c>
      <x:c r="E22" s="61" t="str">
        <x:v>1) Send a single create request. 2) Repeat once intentionally with same test request to understand semantics. 3) Verify duplicate effects against service contract.</x:v>
      </x:c>
      <x:c r="F22" s="61" t="str">
        <x:v>grpcurl -d '{"requestId":"PT-idem-001","name":"Demo"}' localhost:&lt;PORT&gt; package.Service/CreateDemo
Adapt to schema; only disposable records.</x:v>
      </x:c>
      <x:c r="G22" s="61" t="str">
        <x:v>Duplicate sensitive business action occurs despite documented idempotency/one-time semantics.</x:v>
      </x:c>
      <x:c r="H22" s="61" t="str">
        <x:v>Use idempotency keys, deduplication, transaction guarantees and clear retry policy.</x:v>
      </x:c>
      <x:c r="I22" s="61" t="str">
        <x:v>grpcurl</x:v>
      </x:c>
      <x:c r="J22" s="61" t="str">
        <x:v>Local lab/owned service only</x:v>
      </x:c>
      <x:c r="K22" s="61" t="str">
        <x:v>Two responses, record count/state, documented idempotency contract.</x:v>
      </x:c>
      <x:c r="L22" s="61" t="str">
        <x:v>https://owasp.org/projects/api-security-project/</x:v>
      </x:c>
      <x:c r="M22" s="61" t="str">
        <x:v>Not Started</x:v>
      </x:c>
      <x:c r="N22" s="61" t="str"/>
      <x:c r="O22" s="62" t="str"/>
    </x:row>
  </x:sheetData>
  <x:mergeCells>
    <x:mergeCell ref="A1:O1"/>
    <x:mergeCell ref="A2:O2"/>
    <x:mergeCell ref="A3:O3"/>
  </x:mergeCells>
  <x:conditionalFormatting sqref="M5:M22">
    <x:cfRule type="expression" dxfId="6" priority="1">
      <x:formula>M5="Fail"</x:formula>
    </x:cfRule>
    <x:cfRule type="expression" dxfId="7" priority="2">
      <x:formula>M5="Pass"</x:formula>
    </x:cfRule>
    <x:cfRule type="expression" dxfId="8" priority="3">
      <x:formula>M5="Blocked"</x:formula>
    </x:cfRule>
  </x:conditionalFormatting>
  <x:dataValidations count="1">
    <x:dataValidation type="list" sqref="M5:M22">
      <x:formula1>"Not Started,In Progress,Pass,Fail,Blocked,N/A"</x:formula1>
    </x:dataValidation>
  </x:dataValidations>
  <x:pageMargins left="0.7" right="0.7" top="0.75" bottom="0.75" header="0.3" footer="0.3"/>
  <x:tableParts count="1">
    <x:tablePart xmlns:r="http://schemas.openxmlformats.org/officeDocument/2006/relationships" r:id="R38f44d91e3654a58"/>
  </x:tableParts>
</x:worksheet>
</file>

<file path=xl/worksheets/sheet4.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27" hidden="0" customWidth="1"/>
    <x:col min="3" max="3" width="37" hidden="0" customWidth="1"/>
    <x:col min="4" max="4" width="34" hidden="0" customWidth="1"/>
    <x:col min="5" max="5" width="43" hidden="0" customWidth="1"/>
    <x:col min="6" max="6" width="40" hidden="0" customWidth="1"/>
    <x:col min="7" max="7" width="38" hidden="0" customWidth="1"/>
    <x:col min="8" max="8" width="34" hidden="0" customWidth="1"/>
    <x:col min="9" max="9" width="20" hidden="0" customWidth="1"/>
    <x:col min="10" max="10" width="33" hidden="0" customWidth="1"/>
    <x:col min="11" max="11" width="32" hidden="0" customWidth="1"/>
    <x:col min="12" max="12" width="36" hidden="0" customWidth="1"/>
    <x:col min="13" max="13" width="16" hidden="0" customWidth="1"/>
    <x:col min="14" max="14" width="14" hidden="0" customWidth="1"/>
    <x:col min="15" max="15" width="30" hidden="0" customWidth="1"/>
  </x:cols>
  <x:sheetData>
    <x:row r="1" ht="34" customHeight="1">
      <x:c r="A1" s="5" t="str">
        <x:v>SOAP — hands-on security test cases</x:v>
      </x:c>
      <x:c r="B1" s="5"/>
      <x:c r="C1" s="5"/>
      <x:c r="D1" s="5"/>
      <x:c r="E1" s="5"/>
      <x:c r="F1" s="5"/>
      <x:c r="G1" s="5"/>
      <x:c r="H1" s="5"/>
      <x:c r="I1" s="5"/>
      <x:c r="J1" s="5"/>
      <x:c r="K1" s="5"/>
      <x:c r="L1" s="5"/>
      <x:c r="M1" s="5"/>
      <x:c r="N1" s="5"/>
      <x:c r="O1" s="5"/>
    </x:row>
    <x:row r="2" ht="34" customHeight="1">
      <x:c r="A2" s="13" t="str">
        <x:v>20 test cases · public WSDL links are functional demos only; security tests belong in a local/authorized SOAP lab</x:v>
      </x:c>
      <x:c r="B2" s="13"/>
      <x:c r="C2" s="13"/>
      <x:c r="D2" s="13"/>
      <x:c r="E2" s="13"/>
      <x:c r="F2" s="13"/>
      <x:c r="G2" s="13"/>
      <x:c r="H2" s="13"/>
      <x:c r="I2" s="13"/>
      <x:c r="J2" s="13"/>
      <x:c r="K2" s="13"/>
      <x:c r="L2" s="13"/>
      <x:c r="M2" s="13"/>
      <x:c r="N2" s="13"/>
      <x:c r="O2" s="13"/>
    </x:row>
    <x:row r="3" ht="32" customHeight="1">
      <x:c r="A3" s="21" t="str">
        <x:v>Use only authorized targets. Local-lab examples are intentional training scenarios; placeholders and schema names must be adapted to the running lab. A suspected result is not a confirmed finding until impact is validated.</x:v>
      </x:c>
      <x:c r="B3" s="21"/>
      <x:c r="C3" s="21"/>
      <x:c r="D3" s="21"/>
      <x:c r="E3" s="21"/>
      <x:c r="F3" s="21"/>
      <x:c r="G3" s="21"/>
      <x:c r="H3" s="21"/>
      <x:c r="I3" s="21"/>
      <x:c r="J3" s="21"/>
      <x:c r="K3" s="21"/>
      <x:c r="L3" s="21"/>
      <x:c r="M3" s="21"/>
      <x:c r="N3" s="21"/>
      <x:c r="O3" s="21"/>
    </x:row>
    <x:row r="4" ht="38" customHeight="1">
      <x:c r="A4" s="30" t="str">
        <x:v>Test ID</x:v>
      </x:c>
      <x:c r="B4" s="30" t="str">
        <x:v>Vulnerability Name</x:v>
      </x:c>
      <x:c r="C4" s="30" t="str">
        <x:v>Description / Risk</x:v>
      </x:c>
      <x:c r="D4" s="30" t="str">
        <x:v>Prerequisites / Test Data</x:v>
      </x:c>
      <x:c r="E4" s="30" t="str">
        <x:v>Hands-on Steps</x:v>
      </x:c>
      <x:c r="F4" s="30" t="str">
        <x:v>Example Request / Payload / Command</x:v>
      </x:c>
      <x:c r="G4" s="30" t="str">
        <x:v>How to Identify / Validation</x:v>
      </x:c>
      <x:c r="H4" s="30" t="str">
        <x:v>Expected Secure Behaviour</x:v>
      </x:c>
      <x:c r="I4" s="30" t="str">
        <x:v>Tools</x:v>
      </x:c>
      <x:c r="J4" s="30" t="str">
        <x:v>Demo Lab / Target</x:v>
      </x:c>
      <x:c r="K4" s="30" t="str">
        <x:v>Evidence to Capture</x:v>
      </x:c>
      <x:c r="L4" s="30" t="str">
        <x:v>Source / Reference URL</x:v>
      </x:c>
      <x:c r="M4" s="30" t="str">
        <x:v>Status</x:v>
      </x:c>
      <x:c r="N4" s="30" t="str">
        <x:v>Finding ID</x:v>
      </x:c>
      <x:c r="O4" s="30" t="str">
        <x:v>Tester Notes</x:v>
      </x:c>
    </x:row>
    <x:row r="5" ht="112" customHeight="1">
      <x:c r="A5" s="54" t="str">
        <x:v>SOAP-01</x:v>
      </x:c>
      <x:c r="B5" s="55" t="str">
        <x:v>WSDL / operation inventory</x:v>
      </x:c>
      <x:c r="C5" s="55" t="str">
        <x:v>WSDL may document operations that are not obvious from the client UI; stale operations may remain deployed.</x:v>
      </x:c>
      <x:c r="D5" s="55" t="str">
        <x:v>Use a locally generated SoapUI project or public sample WSDL for functional discovery only.</x:v>
      </x:c>
      <x:c r="E5" s="55" t="str">
        <x:v>1) SoapUI: File/New SOAP Project → paste a sample WSDL. 2) Enumerate operations and request elements. 3) Compare with approved inventory and access policy. 4) Do not run security probes against public sample services.</x:v>
      </x:c>
      <x:c r="F5" s="55" t="str">
        <x:v>Sample WSDL for functional requests only:
http://www.dataaccess.com/webservicesserver/numberconversion.wso?WSDL</x:v>
      </x:c>
      <x:c r="G5" s="55" t="str">
        <x:v>Unknown or deprecated sensitive operation is deployed without documented owner/policy; WSDL availability alone is not a vulnerability.</x:v>
      </x:c>
      <x:c r="H5" s="55" t="str">
        <x:v>Maintain current WSDL and endpoint inventory; remove deprecated methods and protect diagnostics.</x:v>
      </x:c>
      <x:c r="I5" s="55" t="str">
        <x:v>SoapUI / ReadyAPI; Burp for owned endpoint</x:v>
      </x:c>
      <x:c r="J5" s="55" t="str">
        <x:v>Public WSDL for generating normal requests only; security tests use local service.</x:v>
      </x:c>
      <x:c r="K5" s="55" t="str">
        <x:v>WSDL version, operation names, inventory comparison.</x:v>
      </x:c>
      <x:c r="L5" s="55" t="str">
        <x:v>https://www.soapui.org/docs/getting-started/soap-test/</x:v>
      </x:c>
      <x:c r="M5" s="55" t="str">
        <x:v>Not Started</x:v>
      </x:c>
      <x:c r="N5" s="55" t="str"/>
      <x:c r="O5" s="56" t="str"/>
    </x:row>
    <x:row r="6" ht="112" customHeight="1">
      <x:c r="A6" s="57" t="str">
        <x:v>SOAP-02</x:v>
      </x:c>
      <x:c r="B6" s="58" t="str">
        <x:v>Unauthenticated access to protected SOAP operation</x:v>
      </x:c>
      <x:c r="C6" s="58" t="str">
        <x:v>SOAP methods may accept requests without required authentication or WS-Security token.</x:v>
      </x:c>
      <x:c r="D6" s="58" t="str">
        <x:v>Local SOAP service with a known protected dummy operation; generate a valid baseline request.</x:v>
      </x:c>
      <x:c r="E6" s="58" t="str">
        <x:v>1) Send operation with valid test credentials. 2) Remove auth header/token. 3) Repeat with an invalid test credential. 4) Check business data, not only status.</x:v>
      </x:c>
      <x:c r="F6" s="58" t="str">
        <x:v>POST /&lt;local-soap-path&gt;
Content-Type: text/xml; charset=utf-8
&lt;soap:Envelope ...&gt;&lt;soap:Body&gt;&lt;GetPrivateTestRecord&gt;...&lt;/GetPrivateTestRecord&gt;&lt;/soap:Body&gt;&lt;/soap:Envelope&gt;</x:v>
      </x:c>
      <x:c r="G6" s="58" t="str">
        <x:v>Protected data/action works without valid identity.</x:v>
      </x:c>
      <x:c r="H6" s="58" t="str">
        <x:v>Authentication required at service boundary and every protected operation.</x:v>
      </x:c>
      <x:c r="I6" s="58" t="str">
        <x:v>SoapUI + Burp Repeater</x:v>
      </x:c>
      <x:c r="J6" s="58" t="str">
        <x:v>Local SOAP service/mock only.</x:v>
      </x:c>
      <x:c r="K6" s="58" t="str">
        <x:v>Valid/missing/invalid auth responses and operation policy.</x:v>
      </x:c>
      <x:c r="L6" s="58" t="str">
        <x:v>https://cheatsheetseries.owasp.org/cheatsheets/XML_Security_Cheat_Sheet.html</x:v>
      </x:c>
      <x:c r="M6" s="58" t="str">
        <x:v>Not Started</x:v>
      </x:c>
      <x:c r="N6" s="58" t="str"/>
      <x:c r="O6" s="59" t="str"/>
    </x:row>
    <x:row r="7" ht="112" customHeight="1">
      <x:c r="A7" s="57" t="str">
        <x:v>SOAP-03</x:v>
      </x:c>
      <x:c r="B7" s="58" t="str">
        <x:v>Operation-level authorization / BFLA</x:v>
      </x:c>
      <x:c r="C7" s="58" t="str">
        <x:v>A role may call an operation not intended for it because all operations share weak authorization.</x:v>
      </x:c>
      <x:c r="D7" s="58" t="str">
        <x:v>Two role-separated local test accounts; an operation with read-only vs privileged access.</x:v>
      </x:c>
      <x:c r="E7" s="58" t="str">
        <x:v>1) Generate request as authorized admin for a disposable operation. 2) Replay as regular user. 3) Do not invoke real delete/payment or administrative operations outside a local lab.</x:v>
      </x:c>
      <x:c r="F7" s="58" t="str">
        <x:v>Same SOAP Body operation with the service's actual security header and &lt;LOW_PRIV_TEST_TOKEN&gt;.</x:v>
      </x:c>
      <x:c r="G7" s="58" t="str">
        <x:v>Low-privilege identity successfully invokes an operation outside the approved role matrix and actual effect is proven.</x:v>
      </x:c>
      <x:c r="H7" s="58" t="str">
        <x:v>Authorize each SOAP operation server-side; enforce role checks independently of operation visibility.</x:v>
      </x:c>
      <x:c r="I7" s="58" t="str">
        <x:v>SoapUI + Burp Repeater</x:v>
      </x:c>
      <x:c r="J7" s="58" t="str">
        <x:v>Local SOAP lab / owned endpoint only.</x:v>
      </x:c>
      <x:c r="K7" s="58" t="str">
        <x:v>Role matrix, SOAPAction/operation, request/response and effect.</x:v>
      </x:c>
      <x:c r="L7" s="58" t="str">
        <x:v>https://owasp.org/projects/api-security-project/</x:v>
      </x:c>
      <x:c r="M7" s="58" t="str">
        <x:v>Not Started</x:v>
      </x:c>
      <x:c r="N7" s="58" t="str"/>
      <x:c r="O7" s="59" t="str"/>
    </x:row>
    <x:row r="8" ht="112" customHeight="1">
      <x:c r="A8" s="57" t="str">
        <x:v>SOAP-04</x:v>
      </x:c>
      <x:c r="B8" s="58" t="str">
        <x:v>Sensitive data exposure in SOAP response</x:v>
      </x:c>
      <x:c r="C8" s="58" t="str">
        <x:v>Response may return excess personal, financial, internal or secret fields.</x:v>
      </x:c>
      <x:c r="D8" s="58" t="str">
        <x:v>Use dummy records and at least two roles if available.</x:v>
      </x:c>
      <x:c r="E8" s="58" t="str">
        <x:v>1) Send a normal query for a dummy record. 2) Compare response fields against WSDL and data minimization policy. 3) Check faults/headers for secrets.</x:v>
      </x:c>
      <x:c r="F8" s="58" t="str">
        <x:v>&lt;GetTestCustomer&gt;&lt;CustomerId&gt;TEST-001&lt;/CustomerId&gt;&lt;/GetTestCustomer&gt;
Generate exact envelope from WSDL.</x:v>
      </x:c>
      <x:c r="G8" s="58" t="str">
        <x:v>Response contains fields not needed/authorized for the caller, such as internal secrets or other users' data.</x:v>
      </x:c>
      <x:c r="H8" s="58" t="str">
        <x:v>Return minimum authorized fields; mask sensitive values; avoid secrets in SOAP headers/faults.</x:v>
      </x:c>
      <x:c r="I8" s="58" t="str">
        <x:v>SoapUI + Burp</x:v>
      </x:c>
      <x:c r="J8" s="58" t="str">
        <x:v>Local SOAP test service only.</x:v>
      </x:c>
      <x:c r="K8" s="58" t="str">
        <x:v>Sanitized XML field names, role, policy and expected result.</x:v>
      </x:c>
      <x:c r="L8" s="58" t="str">
        <x:v>https://owasp.org/projects/api-security-project/</x:v>
      </x:c>
      <x:c r="M8" s="58" t="str">
        <x:v>Not Started</x:v>
      </x:c>
      <x:c r="N8" s="58" t="str"/>
      <x:c r="O8" s="59" t="str"/>
    </x:row>
    <x:row r="9" ht="112" customHeight="1">
      <x:c r="A9" s="57" t="str">
        <x:v>SOAP-05</x:v>
      </x:c>
      <x:c r="B9" s="58" t="str">
        <x:v>XXE / external entity processing</x:v>
      </x:c>
      <x:c r="C9" s="58" t="str">
        <x:v>XML parser may resolve external entities, potentially reading local files or causing server-side network requests.</x:v>
      </x:c>
      <x:c r="D9" s="58" t="str">
        <x:v>Only an isolated local SOAP service configured for XML parser testing; set up a harmless HTTP canary listener you control.</x:v>
      </x:c>
      <x:c r="E9" s="58" t="str">
        <x:v>1) Send baseline valid SOAP request. 2) In local lab only, add a DOCTYPE with an external entity pointing to your controlled canary URL. 3) Check whether the canary receives a callback or the parser expands the entity. 4) Do not reference OS files, cloud metadata or third-party URLs.</x:v>
      </x:c>
      <x:c r="F9" s="58" t="str">
        <x:v>Local-lab-only SOAP body concept:
&lt;!DOCTYPE test [&lt;!ENTITY probe SYSTEM "http://&lt;YOUR-CONTROLLED-LAB-HOST&gt;:8080/xxe-canary"&gt;]&gt;
Use `&amp;probe;` in a harmless string field; only against your local lab.</x:v>
      </x:c>
      <x:c r="G9" s="58" t="str">
        <x:v>Controlled callback or entity expansion proves external entity processing; absence of callback alone does not prove safety.</x:v>
      </x:c>
      <x:c r="H9" s="58" t="str">
        <x:v>Disable DTD/external entity resolution and external schema fetches; use hardened parser settings.</x:v>
      </x:c>
      <x:c r="I9" s="58" t="str">
        <x:v>SoapUI + Burp + local canary listener</x:v>
      </x:c>
      <x:c r="J9" s="58" t="str">
        <x:v>Local SOAP lab only; public NumberConversion/CountryInfo WSDLs are NOT security targets.</x:v>
      </x:c>
      <x:c r="K9" s="58" t="str">
        <x:v>Sanitized request and canary log timestamp; do not capture sensitive file contents.</x:v>
      </x:c>
      <x:c r="L9" s="58" t="str">
        <x:v>https://cheatsheetseries.owasp.org/cheatsheets/XML_Security_Cheat_Sheet.html</x:v>
      </x:c>
      <x:c r="M9" s="58" t="str">
        <x:v>Not Started</x:v>
      </x:c>
      <x:c r="N9" s="58" t="str"/>
      <x:c r="O9" s="59" t="str"/>
    </x:row>
    <x:row r="10" ht="112" customHeight="1">
      <x:c r="A10" s="57" t="str">
        <x:v>SOAP-06</x:v>
      </x:c>
      <x:c r="B10" s="58" t="str">
        <x:v>XPath / XML query injection</x:v>
      </x:c>
      <x:c r="C10" s="58" t="str">
        <x:v>User-controlled XML values may be concatenated into XPath/query expressions.</x:v>
      </x:c>
      <x:c r="D10" s="58" t="str">
        <x:v>Only local vulnerable SOAP/XML query lab with dummy records.</x:v>
      </x:c>
      <x:c r="E10" s="58" t="str">
        <x:v>1) Baseline with a known dummy value. 2) Try a benign quote marker. 3) In a local training lab, compare a simple truthy vs false predicate as documented. 4) Do not query real data or extract records.</x:v>
      </x:c>
      <x:c r="F10" s="58" t="str">
        <x:v>&lt;UserName&gt;test'&lt;/UserName&gt;
Follow the local lab's field schema; do not paste payloads into public SOAP demos.</x:v>
      </x:c>
      <x:c r="G10" s="58" t="str">
        <x:v>Repeatable difference indicates input changes query semantics, not just validation error; verify using dummy records.</x:v>
      </x:c>
      <x:c r="H10" s="58" t="str">
        <x:v>Use parameterized XPath/query APIs, strict schema/type validation and safe error messages.</x:v>
      </x:c>
      <x:c r="I10" s="58" t="str">
        <x:v>SoapUI + Burp</x:v>
      </x:c>
      <x:c r="J10" s="58" t="str">
        <x:v>Local vulnerable XML/SOAP lab only.</x:v>
      </x:c>
      <x:c r="K10" s="58" t="str">
        <x:v>Baseline/differential result, dummy data and request.</x:v>
      </x:c>
      <x:c r="L10" s="58" t="str">
        <x:v>https://owasp.org/www-project-web-security-testing-guide/</x:v>
      </x:c>
      <x:c r="M10" s="58" t="str">
        <x:v>Not Started</x:v>
      </x:c>
      <x:c r="N10" s="58" t="str"/>
      <x:c r="O10" s="59" t="str"/>
    </x:row>
    <x:row r="11" ht="112" customHeight="1">
      <x:c r="A11" s="57" t="str">
        <x:v>SOAP-07</x:v>
      </x:c>
      <x:c r="B11" s="58" t="str">
        <x:v>SOAPAction / operation routing mismatch</x:v>
      </x:c>
      <x:c r="C11" s="58" t="str">
        <x:v>Gateway and backend may interpret SOAPAction/header and SOAP Body differently, causing authorization mismatch.</x:v>
      </x:c>
      <x:c r="D11" s="58" t="str">
        <x:v>Local SOAP service and WSDL defining at least two harmless operations.</x:v>
      </x:c>
      <x:c r="E11" s="58" t="str">
        <x:v>1) Capture an allowed low-risk operation. 2) Change SOAPAction to a different documented action while leaving the Body unchanged. 3) Observe routing and permission checks. 4) Do not invoke destructive operation.</x:v>
      </x:c>
      <x:c r="F11" s="58" t="str">
        <x:v>SOAPAction: "&lt;different-documentation-action&gt;"
SOAP Body remains the captured harmless test operation.</x:v>
      </x:c>
      <x:c r="G11" s="58" t="str">
        <x:v>Header selects a privileged operation while body validation/authorization applies to another, or gateway/backend disagree insecurely.</x:v>
      </x:c>
      <x:c r="H11" s="58" t="str">
        <x:v>Bind action, body operation and authorization consistently; reject mismatches.</x:v>
      </x:c>
      <x:c r="I11" s="58" t="str">
        <x:v>SoapUI + Burp Repeater</x:v>
      </x:c>
      <x:c r="J11" s="58" t="str">
        <x:v>Local SOAP lab/owned service only.</x:v>
      </x:c>
      <x:c r="K11" s="58" t="str">
        <x:v>Original and altered SOAPAction, operation processed, auth role.</x:v>
      </x:c>
      <x:c r="L11" s="58" t="str">
        <x:v>https://cheatsheetseries.owasp.org/cheatsheets/XML_Security_Cheat_Sheet.html</x:v>
      </x:c>
      <x:c r="M11" s="58" t="str">
        <x:v>Not Started</x:v>
      </x:c>
      <x:c r="N11" s="58" t="str"/>
      <x:c r="O11" s="59" t="str"/>
    </x:row>
    <x:row r="12" ht="112" customHeight="1">
      <x:c r="A12" s="57" t="str">
        <x:v>SOAP-08</x:v>
      </x:c>
      <x:c r="B12" s="58" t="str">
        <x:v>XML schema / type validation</x:v>
      </x:c>
      <x:c r="C12" s="58" t="str">
        <x:v>Service may accept malformed or unexpected XML fields, namespaces, types or values.</x:v>
      </x:c>
      <x:c r="D12" s="58" t="str">
        <x:v>Use WSDL/XSD and harmless local operation.</x:v>
      </x:c>
      <x:c r="E12" s="58" t="str">
        <x:v>1) Send generated valid request. 2) Omit a required element, alter one type/value, add an unknown element. 3) Keep documents small. 4) Check any state change.</x:v>
      </x:c>
      <x:c r="F12" s="58" t="str">
        <x:v>&lt;GetTestRecord&gt;&lt;RecordId&gt;not-an-id&lt;/RecordId&gt;&lt;UnexpectedField&gt;PT&lt;/UnexpectedField&gt;&lt;/GetTestRecord&gt;
Adapt element names to the WSDL.</x:v>
      </x:c>
      <x:c r="G12" s="58" t="str">
        <x:v>Malformed/unexpected body reaches business logic and creates an invalid state or bypasses controls.</x:v>
      </x:c>
      <x:c r="H12" s="58" t="str">
        <x:v>Validate against appropriate schema and semantic rules; reject ambiguous requests safely.</x:v>
      </x:c>
      <x:c r="I12" s="58" t="str">
        <x:v>SoapUI + Burp</x:v>
      </x:c>
      <x:c r="J12" s="58" t="str">
        <x:v>Local SOAP lab or authorized staging.</x:v>
      </x:c>
      <x:c r="K12" s="58" t="str">
        <x:v>WSDL/XSD type, valid vs invalid response and state.</x:v>
      </x:c>
      <x:c r="L12" s="58" t="str">
        <x:v>https://cheatsheetseries.owasp.org/cheatsheets/XML_Security_Cheat_Sheet.html</x:v>
      </x:c>
      <x:c r="M12" s="58" t="str">
        <x:v>Not Started</x:v>
      </x:c>
      <x:c r="N12" s="58" t="str"/>
      <x:c r="O12" s="59" t="str"/>
    </x:row>
    <x:row r="13" ht="112" customHeight="1">
      <x:c r="A13" s="57" t="str">
        <x:v>SOAP-09</x:v>
      </x:c>
      <x:c r="B13" s="58" t="str">
        <x:v>XML entity expansion / oversized XML protections</x:v>
      </x:c>
      <x:c r="C13" s="58" t="str">
        <x:v>Excessive XML processing may consume memory/CPU; testing large bombs can disrupt services.</x:v>
      </x:c>
      <x:c r="D13" s="58" t="str">
        <x:v>Use static parser/config review and small boundary-size tests only; load/DoS tests require separate authorization.</x:v>
      </x:c>
      <x:c r="E13" s="58" t="str">
        <x:v>1) Review XML parser settings for entity expansion, depth and size limits. 2) Send a slightly oversized but modest valid document to local lab. 3) Do not send Billion Laughs/entity bombs or huge payloads.</x:v>
      </x:c>
      <x:c r="F13" s="58" t="str">
        <x:v>Use a valid test document with a string field just above the documented max, e.g. 1–2 KB, only if allowed.</x:v>
      </x:c>
      <x:c r="G13" s="58" t="str">
        <x:v>No documented size/depth/entity limits or modest boundary test causes unexpected resource/error behaviour; avoid making DoS claims without controlled evidence.</x:v>
      </x:c>
      <x:c r="H13" s="58" t="str">
        <x:v>Disable entity expansion; cap document size/depth/time; apply gateway request limits.</x:v>
      </x:c>
      <x:c r="I13" s="58" t="str">
        <x:v>SoapUI/Burp; configuration review</x:v>
      </x:c>
      <x:c r="J13" s="58" t="str">
        <x:v>Local lab only; no XML bomb payloads.</x:v>
      </x:c>
      <x:c r="K13" s="58" t="str">
        <x:v>Configured limits, test size, response duration/status.</x:v>
      </x:c>
      <x:c r="L13" s="58" t="str">
        <x:v>https://cheatsheetseries.owasp.org/cheatsheets/XML_Security_Cheat_Sheet.html</x:v>
      </x:c>
      <x:c r="M13" s="58" t="str">
        <x:v>Not Started</x:v>
      </x:c>
      <x:c r="N13" s="58" t="str"/>
      <x:c r="O13" s="59" t="str"/>
    </x:row>
    <x:row r="14" ht="112" customHeight="1">
      <x:c r="A14" s="57" t="str">
        <x:v>SOAP-10</x:v>
      </x:c>
      <x:c r="B14" s="58" t="str">
        <x:v>WS-Security timestamp / replay validation</x:v>
      </x:c>
      <x:c r="C14" s="58" t="str">
        <x:v>Expired or replayed security tokens/signatures may remain accepted beyond the intended window.</x:v>
      </x:c>
      <x:c r="D14" s="58" t="str">
        <x:v>Local SOAP service using WS-Security; test certificate and timestamps only.</x:v>
      </x:c>
      <x:c r="E14" s="58" t="str">
        <x:v>1) Create valid signed request per lab. 2) Replay once after it is accepted. 3) Test an expired timestamp in isolated lab. 4) Never reuse company private keys or production assertions.</x:v>
      </x:c>
      <x:c r="F14" s="58" t="str">
        <x:v>Use SoapUI WS-Security settings to set an expired Created/Expires value or replay one captured dummy request.</x:v>
      </x:c>
      <x:c r="G14" s="58" t="str">
        <x:v>Expired/replayed signed request executes a non-idempotent action despite policy requiring timestamp/nonce freshness.</x:v>
      </x:c>
      <x:c r="H14" s="58" t="str">
        <x:v>Validate timestamps, nonce/message IDs and signature; maintain replay cache where needed.</x:v>
      </x:c>
      <x:c r="I14" s="58" t="str">
        <x:v>SoapUI WS-Security config + Burp</x:v>
      </x:c>
      <x:c r="J14" s="58" t="str">
        <x:v>Local WS-Security lab only.</x:v>
      </x:c>
      <x:c r="K14" s="58" t="str">
        <x:v>Timestamp/nonce (redacted), response and replay policy.</x:v>
      </x:c>
      <x:c r="L14" s="58" t="str">
        <x:v>https://cheatsheetseries.owasp.org/cheatsheets/XML_Security_Cheat_Sheet.html</x:v>
      </x:c>
      <x:c r="M14" s="58" t="str">
        <x:v>Not Started</x:v>
      </x:c>
      <x:c r="N14" s="58" t="str"/>
      <x:c r="O14" s="59" t="str"/>
    </x:row>
    <x:row r="15" ht="112" customHeight="1">
      <x:c r="A15" s="57" t="str">
        <x:v>SOAP-11</x:v>
      </x:c>
      <x:c r="B15" s="58" t="str">
        <x:v>XML signature validation / wrapping risk</x:v>
      </x:c>
      <x:c r="C15" s="58" t="str">
        <x:v>Application may verify one XML element but consume a different unsigned/altered element; this requires careful implementation review.</x:v>
      </x:c>
      <x:c r="D15" s="58" t="str">
        <x:v>Local SOAP lab with WS-Security XML signatures and test certificates.</x:v>
      </x:c>
      <x:c r="E15" s="58" t="str">
        <x:v>1) Verify normal signed request. 2) Review whether the application binds authorization to the exact signed Body element. 3) Use vendor/lab-provided signature-wrapping exercise if available; do not improvise against production.</x:v>
      </x:c>
      <x:c r="F15" s="58" t="str">
        <x:v>No generic universal payload: use a purpose-built local signature-wrapping exercise and compare signed element ID with consumed element.</x:v>
      </x:c>
      <x:c r="G15" s="58" t="str">
        <x:v>Application processes business data that was not covered by the verified signature or accepts tampered signed content.</x:v>
      </x:c>
      <x:c r="H15" s="58" t="str">
        <x:v>Use standards-compliant libraries, unique IDs, strict signature reference validation and bind consumed node to signed node.</x:v>
      </x:c>
      <x:c r="I15" s="58" t="str">
        <x:v>SoapUI + local lab logs/code review</x:v>
      </x:c>
      <x:c r="J15" s="58" t="str">
        <x:v>Purpose-built local WS-Security lab only.</x:v>
      </x:c>
      <x:c r="K15" s="58" t="str">
        <x:v>Signature verification result, signed reference IDs and consumed element identity.</x:v>
      </x:c>
      <x:c r="L15" s="58" t="str">
        <x:v>https://cheatsheetseries.owasp.org/cheatsheets/XML_Security_Cheat_Sheet.html</x:v>
      </x:c>
      <x:c r="M15" s="58" t="str">
        <x:v>Not Started</x:v>
      </x:c>
      <x:c r="N15" s="58" t="str"/>
      <x:c r="O15" s="59" t="str"/>
    </x:row>
    <x:row r="16" ht="112" customHeight="1">
      <x:c r="A16" s="57" t="str">
        <x:v>SOAP-12</x:v>
      </x:c>
      <x:c r="B16" s="58" t="str">
        <x:v>Verbose SOAP Fault leakage</x:v>
      </x:c>
      <x:c r="C16" s="58" t="str">
        <x:v>Faults may reveal stack traces, file paths, database errors or internals.</x:v>
      </x:c>
      <x:c r="D16" s="58" t="str">
        <x:v>Harmless malformed input on local service or approved staging.</x:v>
      </x:c>
      <x:c r="E16" s="58" t="str">
        <x:v>1) Submit malformed XML or invalid enum once. 2) Trigger normal validation fault. 3) Inspect `Fault` code, reason and detail.</x:v>
      </x:c>
      <x:c r="F16" s="58" t="str">
        <x:v>&lt;soap:Envelope xmlns:soap="http://schemas.xmlsoap.org/soap/envelope/"&gt;&lt;soap:Body&gt;&lt;BrokenRequest&gt;&lt;/soap:Body&gt;&lt;/soap:Envelope&gt;</x:v>
      </x:c>
      <x:c r="G16" s="58" t="str">
        <x:v>Fault includes stack trace, query, filesystem path, secrets or internal hostnames.</x:v>
      </x:c>
      <x:c r="H16" s="58" t="str">
        <x:v>Return generic SOAP Fault; detailed errors and correlations remain in protected server logs.</x:v>
      </x:c>
      <x:c r="I16" s="58" t="str">
        <x:v>SoapUI + Burp</x:v>
      </x:c>
      <x:c r="J16" s="58" t="str">
        <x:v>Local SOAP service; staging only with approval.</x:v>
      </x:c>
      <x:c r="K16" s="58" t="str">
        <x:v>Sanitized Fault body and triggering request.</x:v>
      </x:c>
      <x:c r="L16" s="58" t="str">
        <x:v>https://cheatsheetseries.owasp.org/cheatsheets/XML_Security_Cheat_Sheet.html</x:v>
      </x:c>
      <x:c r="M16" s="58" t="str">
        <x:v>Not Started</x:v>
      </x:c>
      <x:c r="N16" s="58" t="str"/>
      <x:c r="O16" s="59" t="str"/>
    </x:row>
    <x:row r="17" ht="112" customHeight="1">
      <x:c r="A17" s="57" t="str">
        <x:v>SOAP-13</x:v>
      </x:c>
      <x:c r="B17" s="58" t="str">
        <x:v>Authentication credentials in WSDL/messages</x:v>
      </x:c>
      <x:c r="C17" s="58" t="str">
        <x:v>WSDL examples, headers or error messages can expose reusable usernames/passwords or tokens.</x:v>
      </x:c>
      <x:c r="D17" s="58" t="str">
        <x:v>Review WSDL, sample requests, endpoint configs and sanitized test traffic.</x:v>
      </x:c>
      <x:c r="E17" s="58" t="str">
        <x:v>1) Search WSDL/docs for literal secrets, hard-coded Basic credentials or test tokens. 2) Inspect captured requests/responses for credential echo. 3) Do not test any found credential against other systems.</x:v>
      </x:c>
      <x:c r="F17" s="58" t="str">
        <x:v>Search local WSDL text for `password`, `token`, `Authorization`; redact matching values.</x:v>
      </x:c>
      <x:c r="G17" s="58" t="str">
        <x:v>Reusable secret is embedded in WSDL/examples or echoed in response/logging.</x:v>
      </x:c>
      <x:c r="H17" s="58" t="str">
        <x:v>Use external secret management; rotate exposed credentials; never echo credential values; document safe examples.</x:v>
      </x:c>
      <x:c r="I17" s="58" t="str">
        <x:v>Text editor, SoapUI, Burp history</x:v>
      </x:c>
      <x:c r="J17" s="58" t="str">
        <x:v>Any owned SOAP application; review-only preferred.</x:v>
      </x:c>
      <x:c r="K17" s="58" t="str">
        <x:v>File location/line and redacted evidence only.</x:v>
      </x:c>
      <x:c r="L17" s="58" t="str">
        <x:v>https://cheatsheetseries.owasp.org/cheatsheets/REST_Assessment_Cheat_Sheet.html</x:v>
      </x:c>
      <x:c r="M17" s="58" t="str">
        <x:v>Not Started</x:v>
      </x:c>
      <x:c r="N17" s="58" t="str"/>
      <x:c r="O17" s="59" t="str"/>
    </x:row>
    <x:row r="18" ht="112" customHeight="1">
      <x:c r="A18" s="57" t="str">
        <x:v>SOAP-14</x:v>
      </x:c>
      <x:c r="B18" s="58" t="str">
        <x:v>Namespace / duplicate element ambiguity</x:v>
      </x:c>
      <x:c r="C18" s="58" t="str">
        <x:v>Different XML parser layers may interpret duplicate elements or namespaces inconsistently.</x:v>
      </x:c>
      <x:c r="D18" s="58" t="str">
        <x:v>Local service with known XML schema; no production probes.</x:v>
      </x:c>
      <x:c r="E18" s="58" t="str">
        <x:v>1) Send valid request. 2) In local lab, duplicate a non-sensitive scalar element with conflicting dummy values or alter namespace prefix while keeping namespace URI. 3) Observe gateway/backend interpretation.</x:v>
      </x:c>
      <x:c r="F18" s="58" t="str">
        <x:v>&lt;TestRequest xmlns="urn:example"&gt;&lt;RecordId&gt;TEST-A&lt;/RecordId&gt;&lt;RecordId&gt;TEST-B&lt;/RecordId&gt;&lt;/TestRequest&gt;
Only local; adapt to schema.</x:v>
      </x:c>
      <x:c r="G18" s="58" t="str">
        <x:v>Front end validates one value while backend consumes another, producing an auth/business-rule bypass.</x:v>
      </x:c>
      <x:c r="H18" s="58" t="str">
        <x:v>Reject duplicate/ambiguous elements; normalize XML once; validate namespace and schema consistently.</x:v>
      </x:c>
      <x:c r="I18" s="58" t="str">
        <x:v>SoapUI + Burp</x:v>
      </x:c>
      <x:c r="J18" s="58" t="str">
        <x:v>Local SOAP lab only.</x:v>
      </x:c>
      <x:c r="K18" s="58" t="str">
        <x:v>Both values, parser/backend behavior and decision result.</x:v>
      </x:c>
      <x:c r="L18" s="58" t="str">
        <x:v>https://cheatsheetseries.owasp.org/cheatsheets/XML_Security_Cheat_Sheet.html</x:v>
      </x:c>
      <x:c r="M18" s="58" t="str">
        <x:v>Not Started</x:v>
      </x:c>
      <x:c r="N18" s="58" t="str"/>
      <x:c r="O18" s="59" t="str"/>
    </x:row>
    <x:row r="19" ht="112" customHeight="1">
      <x:c r="A19" s="57" t="str">
        <x:v>SOAP-15</x:v>
      </x:c>
      <x:c r="B19" s="58" t="str">
        <x:v>Client-controlled owner / role / price field</x:v>
      </x:c>
      <x:c r="C19" s="58" t="str">
        <x:v>SOAP request may expose fields that client should not control.</x:v>
      </x:c>
      <x:c r="D19" s="58" t="str">
        <x:v>WSDL/schema and a disposable local business operation.</x:v>
      </x:c>
      <x:c r="E19" s="58" t="str">
        <x:v>1) Capture valid create/update envelope. 2) Add a schema-recognized owner/role/price field only if available. 3) Re-read state and verify what persisted.</x:v>
      </x:c>
      <x:c r="F19" s="58" t="str">
        <x:v>&lt;CreateTestOrder&gt;&lt;OwnerId&gt;OTHER-TEST&lt;/OwnerId&gt;&lt;Price&gt;0.01&lt;/Price&gt;&lt;/CreateTestOrder&gt;
Illustrative field names; use WSDL types.</x:v>
      </x:c>
      <x:c r="G19" s="58" t="str">
        <x:v>Server accepts unauthorized privileged/business fields and changes state.</x:v>
      </x:c>
      <x:c r="H19" s="58" t="str">
        <x:v>Allowlist client-mutable fields; derive owner/role and computed prices server-side.</x:v>
      </x:c>
      <x:c r="I19" s="58" t="str">
        <x:v>SoapUI + Burp</x:v>
      </x:c>
      <x:c r="J19" s="58" t="str">
        <x:v>Local SOAP business service only.</x:v>
      </x:c>
      <x:c r="K19" s="58" t="str">
        <x:v>WSDL elements, before/after state, request/response.</x:v>
      </x:c>
      <x:c r="L19" s="58" t="str">
        <x:v>https://owasp.org/projects/api-security-project/</x:v>
      </x:c>
      <x:c r="M19" s="58" t="str">
        <x:v>Not Started</x:v>
      </x:c>
      <x:c r="N19" s="58" t="str"/>
      <x:c r="O19" s="59" t="str"/>
    </x:row>
    <x:row r="20" ht="112" customHeight="1">
      <x:c r="A20" s="57" t="str">
        <x:v>SOAP-16</x:v>
      </x:c>
      <x:c r="B20" s="58" t="str">
        <x:v>Transport TLS / certificate validation</x:v>
      </x:c>
      <x:c r="C20" s="58" t="str">
        <x:v>SOAP over HTTP or poorly validated TLS may expose sensitive XML messages.</x:v>
      </x:c>
      <x:c r="D20" s="58" t="str">
        <x:v>Check approved endpoint's scheme and certificate; do not run downgrade probes outside scope.</x:v>
      </x:c>
      <x:c r="E20" s="58" t="str">
        <x:v>1) Verify HTTPS URL and certificate chain. 2) Review certificate chain and hostname. 3) Confirm no test credentials sent to plain HTTP public demo.</x:v>
      </x:c>
      <x:c r="F20" s="58" t="str">
        <x:v>https://&lt;approved-soap-host&gt;/&lt;service&gt;
Public sample WSDL HTTP links are for functional learning only.</x:v>
      </x:c>
      <x:c r="G20" s="58" t="str">
        <x:v>Sensitive SOAP content uses plaintext or client accepts invalid server certificate.</x:v>
      </x:c>
      <x:c r="H20" s="58" t="str">
        <x:v>Enforce HTTPS/TLS, validate CA/hostname, remove plaintext production bindings.</x:v>
      </x:c>
      <x:c r="I20" s="58" t="str">
        <x:v>Browser/SoapUI TLS details; approved checker</x:v>
      </x:c>
      <x:c r="J20" s="58" t="str">
        <x:v>Owned staging/local service.</x:v>
      </x:c>
      <x:c r="K20" s="58" t="str">
        <x:v>Certificate summary, URL scheme, approved policy.</x:v>
      </x:c>
      <x:c r="L20" s="58" t="str">
        <x:v>https://cheatsheetseries.owasp.org/cheatsheets/REST_Assessment_Cheat_Sheet.html</x:v>
      </x:c>
      <x:c r="M20" s="58" t="str">
        <x:v>Not Started</x:v>
      </x:c>
      <x:c r="N20" s="58" t="str"/>
      <x:c r="O20" s="59" t="str"/>
    </x:row>
    <x:row r="21" ht="112" customHeight="1">
      <x:c r="A21" s="57" t="str">
        <x:v>SOAP-17</x:v>
      </x:c>
      <x:c r="B21" s="58" t="str">
        <x:v>Request integrity / signed message requirement</x:v>
      </x:c>
      <x:c r="C21" s="58" t="str">
        <x:v>High-value SOAP operations may rely only on transport TLS when end-to-end message integrity is required by architecture.</x:v>
      </x:c>
      <x:c r="D21" s="58" t="str">
        <x:v>Only if architecture requires WS-Security signatures; local test key/cert.</x:v>
      </x:c>
      <x:c r="E21" s="58" t="str">
        <x:v>1) Capture a harmless signed dummy request. 2) In local lab, alter one non-sensitive signed value without re-signing. 3) Submit and check rejection; don't modify production signed requests.</x:v>
      </x:c>
      <x:c r="F21" s="58" t="str">
        <x:v>Change `&lt;Amount&gt;1.00&lt;/Amount&gt;` to `&lt;Amount&gt;1.01&lt;/Amount&gt;` in an isolated lab signed request without resigning.</x:v>
      </x:c>
      <x:c r="G21" s="58" t="str">
        <x:v>Modified body is accepted despite documented requirement for signature integrity.</x:v>
      </x:c>
      <x:c r="H21" s="58" t="str">
        <x:v>Verify signature across exact consumed elements; use transport security plus message signing as required.</x:v>
      </x:c>
      <x:c r="I21" s="58" t="str">
        <x:v>SoapUI WS-Security + Burp</x:v>
      </x:c>
      <x:c r="J21" s="58" t="str">
        <x:v>Local WS-Security lab only.</x:v>
      </x:c>
      <x:c r="K21" s="58" t="str">
        <x:v>Original signature policy, modified dummy request and reject/accept result.</x:v>
      </x:c>
      <x:c r="L21" s="58" t="str">
        <x:v>https://cheatsheetseries.owasp.org/cheatsheets/XML_Security_Cheat_Sheet.html</x:v>
      </x:c>
      <x:c r="M21" s="58" t="str">
        <x:v>Not Started</x:v>
      </x:c>
      <x:c r="N21" s="58" t="str"/>
      <x:c r="O21" s="59" t="str"/>
    </x:row>
    <x:row r="22" ht="112" customHeight="1">
      <x:c r="A22" s="57" t="str">
        <x:v>SOAP-18</x:v>
      </x:c>
      <x:c r="B22" s="58" t="str">
        <x:v>Content-Type / SOAP version confusion</x:v>
      </x:c>
      <x:c r="C22" s="58" t="str">
        <x:v>SOAP 1.1 and 1.2 have different envelope namespaces/content types; mismatched handling may bypass validation.</x:v>
      </x:c>
      <x:c r="D22" s="58" t="str">
        <x:v>Local test endpoint supporting a documented SOAP version.</x:v>
      </x:c>
      <x:c r="E22" s="58" t="str">
        <x:v>1) Capture a valid SOAP 1.1 or 1.2 request. 2) Change content type/envelope version separately. 3) Check parser and authorization stay consistent.</x:v>
      </x:c>
      <x:c r="F22" s="58" t="str">
        <x:v>SOAP 1.1: `text/xml; charset=utf-8`
SOAP 1.2: `application/soap+xml; charset=utf-8`
Do not mix them unless local endpoint supports testing.</x:v>
      </x:c>
      <x:c r="G22" s="58" t="str">
        <x:v>Mismatched version routes to alternate code path with weaker controls or inconsistent validation.</x:v>
      </x:c>
      <x:c r="H22" s="58" t="str">
        <x:v>Reject unsupported/mismatched version cleanly and use the same security policy across bindings.</x:v>
      </x:c>
      <x:c r="I22" s="58" t="str">
        <x:v>SoapUI + Burp Repeater</x:v>
      </x:c>
      <x:c r="J22" s="58" t="str">
        <x:v>Local SOAP lab/owned endpoint.</x:v>
      </x:c>
      <x:c r="K22" s="58" t="str">
        <x:v>Content-Type, envelope namespace, operation result.</x:v>
      </x:c>
      <x:c r="L22" s="58" t="str">
        <x:v>https://www.soapui.org/docs/getting-started/soap-test/</x:v>
      </x:c>
      <x:c r="M22" s="58" t="str">
        <x:v>Not Started</x:v>
      </x:c>
      <x:c r="N22" s="58" t="str"/>
      <x:c r="O22" s="59" t="str"/>
    </x:row>
    <x:row r="23" ht="112" customHeight="1">
      <x:c r="A23" s="57" t="str">
        <x:v>SOAP-19</x:v>
      </x:c>
      <x:c r="B23" s="58" t="str">
        <x:v>Duplicate/replayed business operation</x:v>
      </x:c>
      <x:c r="C23" s="58" t="str">
        <x:v>A repeated SOAP request may duplicate an order, transfer-like action or provisioning task.</x:v>
      </x:c>
      <x:c r="D23" s="58" t="str">
        <x:v>A local test service with harmless idempotent/demo operation only.</x:v>
      </x:c>
      <x:c r="E23" s="58" t="str">
        <x:v>1) Submit one valid dummy create operation. 2) Repeat the exact request once. 3) Verify the result against the contract. 4) Never replay real payment/transfer requests.</x:v>
      </x:c>
      <x:c r="F23" s="58" t="str">
        <x:v>Replay the same captured test request once using a dummy request ID only.</x:v>
      </x:c>
      <x:c r="G23" s="58" t="str">
        <x:v>Duplicate action occurs when the service promises single-use or idempotent semantics.</x:v>
      </x:c>
      <x:c r="H23" s="58" t="str">
        <x:v>Use request IDs, transaction deduplication and clear idempotency semantics.</x:v>
      </x:c>
      <x:c r="I23" s="58" t="str">
        <x:v>SoapUI + Burp Repeater</x:v>
      </x:c>
      <x:c r="J23" s="58" t="str">
        <x:v>Local SOAP lab only.</x:v>
      </x:c>
      <x:c r="K23" s="58" t="str">
        <x:v>Two responses, dummy state before/after and idempotency contract.</x:v>
      </x:c>
      <x:c r="L23" s="58" t="str">
        <x:v>https://owasp.org/projects/api-security-project/</x:v>
      </x:c>
      <x:c r="M23" s="58" t="str">
        <x:v>Not Started</x:v>
      </x:c>
      <x:c r="N23" s="58" t="str"/>
      <x:c r="O23" s="59" t="str"/>
    </x:row>
    <x:row r="24" ht="112" customHeight="1">
      <x:c r="A24" s="60" t="str">
        <x:v>SOAP-20</x:v>
      </x:c>
      <x:c r="B24" s="61" t="str">
        <x:v>Rate / resource limits on XML operations</x:v>
      </x:c>
      <x:c r="C24" s="61" t="str">
        <x:v>Expensive XML/service operations may lack per-client limits, causing resource exhaustion.</x:v>
      </x:c>
      <x:c r="D24" s="61" t="str">
        <x:v>Check docs/configuration first; only a small, approved request count against local lab.</x:v>
      </x:c>
      <x:c r="E24" s="61" t="str">
        <x:v>1) Call a harmless operation a few times at normal pace. 2) Observe quotas, timeout and error behaviour. 3) Do not load test public demo endpoints or send large XML bodies.</x:v>
      </x:c>
      <x:c r="F24" s="61" t="str">
        <x:v>One normal valid SOAP operation repeated no more than 3–5 times in a local lab if approved.</x:v>
      </x:c>
      <x:c r="G24" s="61" t="str">
        <x:v>No limits or excessive processing is suggested only after safe test plus config/log evidence; avoid DoS payloads.</x:v>
      </x:c>
      <x:c r="H24" s="61" t="str">
        <x:v>Bound message size/depth/processing time and apply rate limiting where appropriate.</x:v>
      </x:c>
      <x:c r="I24" s="61" t="str">
        <x:v>SoapUI / Burp; service metrics</x:v>
      </x:c>
      <x:c r="J24" s="61" t="str">
        <x:v>Local SOAP lab only.</x:v>
      </x:c>
      <x:c r="K24" s="61" t="str">
        <x:v>Request count, intervals, service health and configured limits.</x:v>
      </x:c>
      <x:c r="L24" s="61" t="str">
        <x:v>https://owasp.org/projects/api-security-project/</x:v>
      </x:c>
      <x:c r="M24" s="61" t="str">
        <x:v>Not Started</x:v>
      </x:c>
      <x:c r="N24" s="61" t="str"/>
      <x:c r="O24" s="62" t="str"/>
    </x:row>
  </x:sheetData>
  <x:mergeCells>
    <x:mergeCell ref="A1:O1"/>
    <x:mergeCell ref="A2:O2"/>
    <x:mergeCell ref="A3:O3"/>
  </x:mergeCells>
  <x:conditionalFormatting sqref="M5:M24">
    <x:cfRule type="expression" dxfId="9" priority="1">
      <x:formula>M5="Fail"</x:formula>
    </x:cfRule>
    <x:cfRule type="expression" dxfId="10" priority="2">
      <x:formula>M5="Pass"</x:formula>
    </x:cfRule>
    <x:cfRule type="expression" dxfId="11" priority="3">
      <x:formula>M5="Blocked"</x:formula>
    </x:cfRule>
  </x:conditionalFormatting>
  <x:dataValidations count="1">
    <x:dataValidation type="list" sqref="M5:M24">
      <x:formula1>"Not Started,In Progress,Pass,Fail,Blocked,N/A"</x:formula1>
    </x:dataValidation>
  </x:dataValidations>
  <x:pageMargins left="0.7" right="0.7" top="0.75" bottom="0.75" header="0.3" footer="0.3"/>
  <x:tableParts count="1">
    <x:tablePart xmlns:r="http://schemas.openxmlformats.org/officeDocument/2006/relationships" r:id="R63caee02b50f40fa"/>
  </x:tableParts>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8" hidden="0" customWidth="1"/>
    <x:col min="2" max="2" width="34" hidden="0" customWidth="1"/>
    <x:col min="3" max="3" width="100" hidden="0" customWidth="1"/>
    <x:col min="4" max="4" width="20" hidden="0" customWidth="1"/>
    <x:col min="5" max="5" width="20" hidden="0" customWidth="1"/>
    <x:col min="6" max="6" width="20" hidden="0" customWidth="1"/>
  </x:cols>
  <x:sheetData>
    <x:row r="1" ht="34" customHeight="1">
      <x:c r="A1" s="5" t="str">
        <x:v>API Pentesting Hands-on Workbook</x:v>
      </x:c>
      <x:c r="B1" s="5"/>
      <x:c r="C1" s="5"/>
      <x:c r="D1" s="5"/>
      <x:c r="E1" s="5"/>
      <x:c r="F1" s="5"/>
    </x:row>
    <x:row r="2" ht="34" customHeight="1">
      <x:c r="A2" s="13" t="str">
        <x:v>Practical test cases for REST, GraphQL, gRPC and SOAP · local labs + controlled evidence</x:v>
      </x:c>
      <x:c r="B2" s="13"/>
      <x:c r="C2" s="13"/>
      <x:c r="D2" s="13"/>
      <x:c r="E2" s="13"/>
      <x:c r="F2" s="13"/>
    </x:row>
    <x:row r="4" ht="55" customHeight="1">
      <x:c r="A4" s="92" t="str">
        <x:v>Purpose</x:v>
      </x:c>
      <x:c r="B4" s="98" t="str">
        <x:v>Use this workbook to perform structured, authorized API security testing, capture evidence, and track results.</x:v>
      </x:c>
    </x:row>
    <x:row r="5" ht="55" customHeight="1">
      <x:c r="A5" s="92" t="str">
        <x:v>Recommended order</x:v>
      </x:c>
      <x:c r="B5" s="98" t="str">
        <x:v>1) Read this sheet → 2) Start local demo lab → 3) Discover actual schema/routes → 4) Run the matching protocol sheet → 5) Record evidence → 6) Report/retest.</x:v>
      </x:c>
    </x:row>
    <x:row r="6" ht="55" customHeight="1">
      <x:c r="A6" s="92" t="str">
        <x:v>Test status meanings</x:v>
      </x:c>
      <x:c r="B6" s="98" t="str">
        <x:v>Not Started = pending; In Progress = active; Pass = test control worked for this case; Fail = suspected/confirmed weakness requiring validation; Blocked = unable to test; N/A = not applicable with reason in notes.</x:v>
      </x:c>
    </x:row>
    <x:row r="7" ht="55" customHeight="1">
      <x:c r="A7" s="92" t="str">
        <x:v>Example caveat</x:v>
      </x:c>
      <x:c r="B7" s="98" t="str">
        <x:v>Requests often contain placeholders such as &lt;TOKEN&gt;, &lt;PORT&gt;, &lt;TEST_ID&gt; and illustrative route/field names. Copy the request shape, then adapt it to the actual local WSDL/OpenAPI/.proto/GraphQL schema.</x:v>
      </x:c>
    </x:row>
    <x:row r="8" ht="55" customHeight="1">
      <x:c r="A8" s="92" t="str">
        <x:v>Safety boundary</x:v>
      </x:c>
      <x:c r="B8" s="98" t="str">
        <x:v>Written authorization is required for company staging and every shared target. Do not security-test public functional demo APIs. Use public sample services only for normal functional requests, not vulnerability payloads.</x:v>
      </x:c>
    </x:row>
    <x:row r="9" ht="55" customHeight="1">
      <x:c r="A9" s="92" t="str">
        <x:v>Destructive / load tests</x:v>
      </x:c>
      <x:c r="B9" s="98" t="str">
        <x:v>No high-rate brute force, DoS, XML bombs, command execution, cloud-metadata SSRF, payment/transfer actions, real OTPs or real customer data. For rate limits use a small approved request count; use canary URLs that you control.</x:v>
      </x:c>
    </x:row>
    <x:row r="10" ht="55" customHeight="1">
      <x:c r="A10" s="92" t="str">
        <x:v>Finding validation</x:v>
      </x:c>
      <x:c r="B10" s="98" t="str">
        <x:v>A status code alone is not proof. Confirm the relevant role, data ownership, actual side effect, documented policy and reproducibility. Store only sanitized evidence; never attach active secrets.</x:v>
      </x:c>
    </x:row>
    <x:row r="12" ht="26" customHeight="1">
      <x:c r="A12" s="102" t="str">
        <x:v>Local lab quick start — run on your own machine, not on a company/Internet-facing host</x:v>
      </x:c>
      <x:c r="B12" s="102"/>
      <x:c r="C12" s="102"/>
      <x:c r="D12" s="102"/>
      <x:c r="E12" s="102"/>
      <x:c r="F12" s="102"/>
    </x:row>
    <x:row r="13">
      <x:c r="A13" s="92" t="str">
        <x:v>Protocol</x:v>
      </x:c>
      <x:c r="B13" s="92" t="str">
        <x:v>Safe training lab</x:v>
      </x:c>
      <x:c r="C13" s="92" t="str">
        <x:v>Setup / access</x:v>
      </x:c>
    </x:row>
    <x:row r="14" ht="94" customHeight="1">
      <x:c r="A14" s="108" t="str">
        <x:v>REST</x:v>
      </x:c>
      <x:c r="B14" s="108" t="str">
        <x:v>VAmPI (intentionally vulnerable)</x:v>
      </x:c>
      <x:c r="C14" s="108" t="str">
        <x:v>docker run --rm -p 127.0.0.1:5000:5000 erev0s/vampi:latest
Browse: http://127.0.0.1:5000/ui/
Initialize dummy DB if needed: GET http://127.0.0.1:5000/createdb</x:v>
      </x:c>
    </x:row>
    <x:row r="15" ht="94" customHeight="1">
      <x:c r="A15" s="108" t="str">
        <x:v>REST</x:v>
      </x:c>
      <x:c r="B15" s="108" t="str">
        <x:v>OWASP crAPI (intentionally vulnerable)</x:v>
      </x:c>
      <x:c r="C15" s="108" t="str">
        <x:v>Follow repo's Docker Compose instructions: clone https://github.com/OWASP/crAPI, then run from deploy/docker.
Default app documented by project: http://localhost:8888</x:v>
      </x:c>
    </x:row>
    <x:row r="16" ht="94" customHeight="1">
      <x:c r="A16" s="108" t="str">
        <x:v>GraphQL</x:v>
      </x:c>
      <x:c r="B16" s="108" t="str">
        <x:v>DVGA (intentionally vulnerable)</x:v>
      </x:c>
      <x:c r="C16" s="108" t="str">
        <x:v>git clone https://github.com/dolevf/Damn-Vulnerable-GraphQL-Application
cd Damn-Vulnerable-GraphQL-Application
docker build -t dvga .
docker run --rm -p 127.0.0.1:5013:5013 -e WEB_HOST=0.0.0.0 dvga
Browse: http://127.0.0.1:5013; identify the actual GraphQL route in UI/traffic.</x:v>
      </x:c>
    </x:row>
    <x:row r="17" ht="94" customHeight="1">
      <x:c r="A17" s="108" t="str">
        <x:v>gRPC</x:v>
      </x:c>
      <x:c r="B17" s="108" t="str">
        <x:v>gRPC Goat (intentionally vulnerable)</x:v>
      </x:c>
      <x:c r="C17" s="108" t="str">
        <x:v>git clone https://github.com/rootxjs/grpc-goat
cd grpc-goat
docker compose up --build
Services documented on localhost:8001–8009; match each lab to its .proto and README.</x:v>
      </x:c>
    </x:row>
    <x:row r="18" ht="94" customHeight="1">
      <x:c r="A18" s="109" t="str">
        <x:v>SOAP</x:v>
      </x:c>
      <x:c r="B18" s="109" t="str">
        <x:v>SoapUI samples + local/mock service</x:v>
      </x:c>
      <x:c r="C18" s="109" t="str">
        <x:v>Functional WSDL demos: http://www.dataaccess.com/webservicesserver/numberconversion.wso?WSDL or http://webservices.oorsprong.org/websamples.countryinfo/CountryInfoService.wso?WSDL.
Use sample WSDLs only to generate normal requests. For security payloads, use a local SoapUI MockService / authorized SOAP lab.</x:v>
      </x:c>
    </x:row>
  </x:sheetData>
  <x:mergeCells>
    <x:mergeCell ref="A1:F1"/>
    <x:mergeCell ref="A2:F2"/>
    <x:mergeCell ref="A12:F12"/>
  </x:mergeCells>
  <x:pageMargins left="0.7" right="0.7" top="0.75" bottom="0.75" header="0.3" footer="0.3"/>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34" hidden="0" customWidth="1"/>
    <x:col min="3" max="3" width="44" hidden="0" customWidth="1"/>
    <x:col min="4" max="4" width="68" hidden="0" customWidth="1"/>
    <x:col min="5" max="5" width="53" hidden="0" customWidth="1"/>
    <x:col min="6" max="6" width="52" hidden="0" customWidth="1"/>
  </x:cols>
  <x:sheetData>
    <x:row r="1" ht="34" customHeight="1">
      <x:c r="A1" s="5" t="str">
        <x:v>Demo Labs &amp; References</x:v>
      </x:c>
      <x:c r="B1" s="5"/>
      <x:c r="C1" s="5"/>
      <x:c r="D1" s="5"/>
      <x:c r="E1" s="5"/>
      <x:c r="F1" s="5"/>
    </x:row>
    <x:row r="2" ht="34" customHeight="1">
      <x:c r="A2" s="13" t="str">
        <x:v>Use deliberately vulnerable labs for security payloads; public demo services are only for normal functional learning.</x:v>
      </x:c>
      <x:c r="B2" s="13"/>
      <x:c r="C2" s="13"/>
      <x:c r="D2" s="13"/>
      <x:c r="E2" s="13"/>
      <x:c r="F2" s="13"/>
    </x:row>
    <x:row r="4" ht="36" customHeight="1">
      <x:c r="A4" s="92" t="str">
        <x:v>Protocol</x:v>
      </x:c>
      <x:c r="B4" s="92" t="str">
        <x:v>Resource / Lab</x:v>
      </x:c>
      <x:c r="C4" s="92" t="str">
        <x:v>Purpose</x:v>
      </x:c>
      <x:c r="D4" s="92" t="str">
        <x:v>Local setup / endpoint</x:v>
      </x:c>
      <x:c r="E4" s="92" t="str">
        <x:v>Safe-use notes</x:v>
      </x:c>
      <x:c r="F4" s="92" t="str">
        <x:v>Source URL</x:v>
      </x:c>
    </x:row>
    <x:row r="5" ht="76" customHeight="1">
      <x:c r="A5" s="108" t="str">
        <x:v>REST</x:v>
      </x:c>
      <x:c r="B5" s="108" t="str">
        <x:v>OWASP crAPI</x:v>
      </x:c>
      <x:c r="C5" s="108" t="str">
        <x:v>Intentionally vulnerable API training app; API security challenges based on common real-world patterns.</x:v>
      </x:c>
      <x:c r="D5" s="108" t="str">
        <x:v>Follow Docker Compose instructions in repository; default app documented at http://localhost:8888; OpenAPI and Postman collections in repo.</x:v>
      </x:c>
      <x:c r="E5" s="108" t="str">
        <x:v>Run locally/isolated; it is intentionally vulnerable. Use lab accounts and dummy data.</x:v>
      </x:c>
      <x:c r="F5" s="108" t="str">
        <x:v>https://github.com/OWASP/crAPI</x:v>
      </x:c>
    </x:row>
    <x:row r="6" ht="76" customHeight="1">
      <x:c r="A6" s="108" t="str">
        <x:v>REST</x:v>
      </x:c>
      <x:c r="B6" s="108" t="str">
        <x:v>VAmPI</x:v>
      </x:c>
      <x:c r="C6" s="108" t="str">
        <x:v>Vulnerable REST API with OpenAPI 3, Swagger UI, token auth and API Top 10 exercises.</x:v>
      </x:c>
      <x:c r="D6" s="108" t="str">
        <x:v>docker run --rm -p 127.0.0.1:5000:5000 erev0s/vampi:latest
UI: http://127.0.0.1:5000/ui/
DB setup: GET /createdb</x:v>
      </x:c>
      <x:c r="E6" s="108" t="str">
        <x:v>Local only. Lab docs state the app includes BOLA, mass assignment, SQLi, debug exposure and auth scenarios.</x:v>
      </x:c>
      <x:c r="F6" s="108" t="str">
        <x:v>https://github.com/erev0s/VAmPI</x:v>
      </x:c>
    </x:row>
    <x:row r="7" ht="76" customHeight="1">
      <x:c r="A7" s="108" t="str">
        <x:v>GraphQL</x:v>
      </x:c>
      <x:c r="B7" s="108" t="str">
        <x:v>Damn Vulnerable GraphQL Application (DVGA)</x:v>
      </x:c>
      <x:c r="C7" s="108" t="str">
        <x:v>Intentionally vulnerable GraphQL implementation with queries, mutations and subscriptions.</x:v>
      </x:c>
      <x:c r="D7" s="108" t="str">
        <x:v>git clone https://github.com/dolevf/Damn-Vulnerable-GraphQL-Application
cd Damn-Vulnerable-GraphQL-Application
docker build -t dvga .
docker run --rm -p 127.0.0.1:5013:5013 -e WEB_HOST=0.0.0.0 dvga
Open http://127.0.0.1:5013 and identify endpoint from UI/traffic.</x:v>
      </x:c>
      <x:c r="E7" s="108" t="str">
        <x:v>Do not expose the intentionally vulnerable container to the Internet. Local only.</x:v>
      </x:c>
      <x:c r="F7" s="108" t="str">
        <x:v>https://github.com/dolevf/Damn-Vulnerable-GraphQL-Application</x:v>
      </x:c>
    </x:row>
    <x:row r="8" ht="76" customHeight="1">
      <x:c r="A8" s="108" t="str">
        <x:v>gRPC</x:v>
      </x:c>
      <x:c r="B8" s="108" t="str">
        <x:v>gRPC Goat</x:v>
      </x:c>
      <x:c r="C8" s="108" t="str">
        <x:v>Vulnerable-by-design gRPC labs: reflection, plaintext, TLS/mTLS validation, SQL injection, command injection and SSRF scenarios.</x:v>
      </x:c>
      <x:c r="D8" s="108" t="str">
        <x:v>git clone https://github.com/rootxjs/grpc-goat
cd grpc-goat
docker compose up --build
Documented lab services use localhost ports 8001–8009; inspect matching .proto files.</x:v>
      </x:c>
      <x:c r="E8" s="108" t="str">
        <x:v>Keep isolated. Use supplied lab-specific test data and official walkthrough. Do not use payloads on any other gRPC host.</x:v>
      </x:c>
      <x:c r="F8" s="108" t="str">
        <x:v>https://github.com/rootxjs/grpc-goat</x:v>
      </x:c>
    </x:row>
    <x:row r="9" ht="76" customHeight="1">
      <x:c r="A9" s="108" t="str">
        <x:v>SOAP</x:v>
      </x:c>
      <x:c r="B9" s="108" t="str">
        <x:v>SoapUI sample SOAP/WSDL</x:v>
      </x:c>
      <x:c r="C9" s="108" t="str">
        <x:v>Generate valid SOAP envelopes, learn WSDL operations, verify normal functional request/response format.</x:v>
      </x:c>
      <x:c r="D9" s="108" t="str">
        <x:v>WSDL: http://www.dataaccess.com/webservicesserver/numberconversion.wso?WSDL
Alternative: http://webservices.oorsprong.org/websamples.countryinfo/CountryInfoService.wso?WSDL</x:v>
      </x:c>
      <x:c r="E9" s="108" t="str">
        <x:v>Functional demos are not intentionally vulnerable. Do not scan/fuzz them or send security payloads; use local SoapUI MockService or authorized SOAP lab for security testing.</x:v>
      </x:c>
      <x:c r="F9" s="108" t="str">
        <x:v>https://www.soapui.org/docs/getting-started/soap-test/</x:v>
      </x:c>
    </x:row>
    <x:row r="10" ht="76" customHeight="1">
      <x:c r="A10" s="108" t="str">
        <x:v>SOAP</x:v>
      </x:c>
      <x:c r="B10" s="108" t="str">
        <x:v>Local SoapUI MockService / owned SOAP lab</x:v>
      </x:c>
      <x:c r="C10" s="108" t="str">
        <x:v>Practice request editing, auth, schema validation, error handling, WS-Security and parser tests against a service you control.</x:v>
      </x:c>
      <x:c r="D10" s="108" t="str">
        <x:v>In SoapUI, create a local MockService from a WSDL or use an approved local SOAP training app bound to 127.0.0.1. For XXE/WS-Security, implement a dedicated isolated lab.</x:v>
      </x:c>
      <x:c r="E10" s="108" t="str">
        <x:v>A mock service is not vulnerable by default. Only mark a test Fail if the vulnerable behavior is actually present and reproducible.</x:v>
      </x:c>
      <x:c r="F10" s="108" t="str">
        <x:v>https://www.soapui.org/docs/getting-started/soap-test/</x:v>
      </x:c>
    </x:row>
    <x:row r="11" ht="76" customHeight="1">
      <x:c r="A11" s="108" t="str">
        <x:v>Standard</x:v>
      </x:c>
      <x:c r="B11" s="108" t="str">
        <x:v>OWASP API Security Top 10</x:v>
      </x:c>
      <x:c r="C11" s="108" t="str">
        <x:v>Baseline API risk taxonomy.</x:v>
      </x:c>
      <x:c r="D11" s="108" t="str">
        <x:v>API1 BOLA, API2 Broken Authentication, API3 BOPLA, API4 Unrestricted Resource Consumption, API5 BFLA, API6 Sensitive Business Flows, API7 SSRF, API8 Misconfiguration, API9 Inventory, API10 Unsafe API Consumption.</x:v>
      </x:c>
      <x:c r="E11" s="108" t="str">
        <x:v>Map findings to the actual issue and avoid double-counting the same root cause.</x:v>
      </x:c>
      <x:c r="F11" s="108" t="str">
        <x:v>https://owasp.org/API-Security/editions/2023/en/0x11-t10/</x:v>
      </x:c>
    </x:row>
    <x:row r="12" ht="76" customHeight="1">
      <x:c r="A12" s="108" t="str">
        <x:v>Standard</x:v>
      </x:c>
      <x:c r="B12" s="108" t="str">
        <x:v>OWASP REST Assessment Cheat Sheet</x:v>
      </x:c>
      <x:c r="C12" s="108" t="str">
        <x:v>REST-specific assessment guidance.</x:v>
      </x:c>
      <x:c r="D12" s="108" t="str">
        <x:v>Use for auth/session, request parameters, methods, and API-specific test planning.</x:v>
      </x:c>
      <x:c r="E12" s="108" t="str">
        <x:v>Use as guidance, not as a claim that every checklist item applies to every API.</x:v>
      </x:c>
      <x:c r="F12" s="108" t="str">
        <x:v>https://cheatsheetseries.owasp.org/cheatsheets/REST_Assessment_Cheat_Sheet.html</x:v>
      </x:c>
    </x:row>
    <x:row r="13" ht="76" customHeight="1">
      <x:c r="A13" s="108" t="str">
        <x:v>Standard</x:v>
      </x:c>
      <x:c r="B13" s="108" t="str">
        <x:v>OWASP GraphQL Cheat Sheet</x:v>
      </x:c>
      <x:c r="C13" s="108" t="str">
        <x:v>GraphQL risks and mitigation guidance.</x:v>
      </x:c>
      <x:c r="D13" s="108" t="str">
        <x:v>Query depth/complexity, batching, authorization, errors and schema controls.</x:v>
      </x:c>
      <x:c r="E13" s="108" t="str">
        <x:v>Run complex query tests only in local lab and keep query depth/batch small.</x:v>
      </x:c>
      <x:c r="F13" s="108" t="str">
        <x:v>https://cheatsheetseries.owasp.org/cheatsheets/GraphQL_Cheat_Sheet.html</x:v>
      </x:c>
    </x:row>
    <x:row r="14" ht="76" customHeight="1">
      <x:c r="A14" s="108" t="str">
        <x:v>Standard</x:v>
      </x:c>
      <x:c r="B14" s="108" t="str">
        <x:v>OWASP API Security Testing Framework guidelines</x:v>
      </x:c>
      <x:c r="C14" s="108" t="str">
        <x:v>Additional practical test methodology and protocol notes for GraphQL/gRPC/general API risks.</x:v>
      </x:c>
      <x:c r="D14" s="108" t="str">
        <x:v>Testing guidelines and safe-testing cautions.</x:v>
      </x:c>
      <x:c r="E14" s="108" t="str">
        <x:v>Follow the responsible testing guidance; public lab mention is not blanket authorization to test arbitrary systems.</x:v>
      </x:c>
      <x:c r="F14" s="108" t="str">
        <x:v>https://github.com/OWASP/www-project-api-security-testing-framework/blob/main/docs/TESTING_GUIDELINES.md</x:v>
      </x:c>
    </x:row>
    <x:row r="15" ht="76" customHeight="1">
      <x:c r="A15" s="108" t="str">
        <x:v>Standard</x:v>
      </x:c>
      <x:c r="B15" s="108" t="str">
        <x:v>gRPC Goat documentation</x:v>
      </x:c>
      <x:c r="C15" s="108" t="str">
        <x:v>Setup and scenario walkthroughs for each gRPC lab.</x:v>
      </x:c>
      <x:c r="D15" s="108" t="str">
        <x:v>Review the README and correct `.proto` for the specific port/lab.</x:v>
      </x:c>
      <x:c r="E15" s="108" t="str">
        <x:v>The test method is service/schema-specific. Do not guess request types.</x:v>
      </x:c>
      <x:c r="F15" s="108" t="str">
        <x:v>https://rootxjs.github.io/docs/grpc_goat_docs/getting-started/</x:v>
      </x:c>
    </x:row>
    <x:row r="16" ht="76" customHeight="1">
      <x:c r="A16" s="109" t="str">
        <x:v>Standard</x:v>
      </x:c>
      <x:c r="B16" s="109" t="str">
        <x:v>OWASP XML Security Cheat Sheet</x:v>
      </x:c>
      <x:c r="C16" s="109" t="str">
        <x:v>XML parser hardening and XXE prevention reference.</x:v>
      </x:c>
      <x:c r="D16" s="109" t="str">
        <x:v>Review DTD/entity handling, schema fetching, size/depth limits and parser settings.</x:v>
      </x:c>
      <x:c r="E16" s="109" t="str">
        <x:v>Do not send XML bombs or file-read payloads to shared services; controlled callbacks only in local labs.</x:v>
      </x:c>
      <x:c r="F16" s="109" t="str">
        <x:v>https://cheatsheetseries.owasp.org/cheatsheets/XML_Security_Cheat_Sheet.html</x:v>
      </x:c>
    </x:row>
  </x:sheetData>
  <x:mergeCells>
    <x:mergeCell ref="A1:F1"/>
    <x:mergeCell ref="A2:F2"/>
  </x:mergeCells>
  <x:pageMargins left="0.7" right="0.7" top="0.75" bottom="0.75" header="0.3" footer="0.3"/>
  <x:tableParts count="1">
    <x:tablePart xmlns:r="http://schemas.openxmlformats.org/officeDocument/2006/relationships" r:id="R6ba9a864b62c4ca0"/>
  </x:tableParts>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45" hidden="0" customWidth="1"/>
    <x:col min="3" max="3" width="42" hidden="0" customWidth="1"/>
    <x:col min="4" max="4" width="42" hidden="0" customWidth="1"/>
    <x:col min="5" max="5" width="18" hidden="0" customWidth="1"/>
    <x:col min="6" max="6" width="20" hidden="0" customWidth="1"/>
    <x:col min="7" max="7" width="30" hidden="0" customWidth="1"/>
    <x:col min="8" max="8" width="22" hidden="0" customWidth="1"/>
    <x:col min="9" max="9" width="30" hidden="0" customWidth="1"/>
    <x:col min="10" max="10" width="30" hidden="0" customWidth="1"/>
    <x:col min="11" max="11" width="30" hidden="0" customWidth="1"/>
    <x:col min="12" max="12" width="34" hidden="0" customWidth="1"/>
    <x:col min="13" max="13" width="34" hidden="0" customWidth="1"/>
    <x:col min="14" max="14" width="34" hidden="0" customWidth="1"/>
    <x:col min="15" max="15" width="35" hidden="0" customWidth="1"/>
    <x:col min="16" max="16" width="28" hidden="0" customWidth="1"/>
    <x:col min="17" max="17" width="18" hidden="0" customWidth="1"/>
    <x:col min="18" max="18" width="20" hidden="0" customWidth="1"/>
  </x:cols>
  <x:sheetData>
    <x:row r="1" ht="34" customHeight="1">
      <x:c r="A1" s="5" t="str">
        <x:v>Evidence Register &amp; Report Template</x:v>
      </x:c>
      <x:c r="B1" s="5"/>
      <x:c r="C1" s="5"/>
      <x:c r="D1" s="5"/>
      <x:c r="E1" s="5"/>
      <x:c r="F1" s="5"/>
      <x:c r="G1" s="5"/>
      <x:c r="H1" s="5"/>
      <x:c r="I1" s="5"/>
      <x:c r="J1" s="5"/>
      <x:c r="K1" s="5"/>
      <x:c r="L1" s="5"/>
      <x:c r="M1" s="5"/>
      <x:c r="N1" s="5"/>
      <x:c r="O1" s="5"/>
      <x:c r="P1" s="5"/>
      <x:c r="Q1" s="5"/>
      <x:c r="R1" s="5"/>
    </x:row>
    <x:row r="2" ht="34" customHeight="1">
      <x:c r="A2" s="13" t="str">
        <x:v>Use one row per confirmed or suspected finding; keep proof reproducible and redact credentials/PII.</x:v>
      </x:c>
      <x:c r="B2" s="13"/>
      <x:c r="C2" s="13"/>
      <x:c r="D2" s="13"/>
      <x:c r="E2" s="13"/>
      <x:c r="F2" s="13"/>
      <x:c r="G2" s="13"/>
      <x:c r="H2" s="13"/>
      <x:c r="I2" s="13"/>
      <x:c r="J2" s="13"/>
      <x:c r="K2" s="13"/>
      <x:c r="L2" s="13"/>
      <x:c r="M2" s="13"/>
      <x:c r="N2" s="13"/>
      <x:c r="O2" s="13"/>
      <x:c r="P2" s="13"/>
      <x:c r="Q2" s="13"/>
      <x:c r="R2" s="13"/>
    </x:row>
    <x:row r="4" ht="42" customHeight="1">
      <x:c r="A4" s="92" t="str">
        <x:v>Finding ID</x:v>
      </x:c>
      <x:c r="B4" s="92" t="str">
        <x:v>Test ID</x:v>
      </x:c>
      <x:c r="C4" s="92" t="str">
        <x:v>Protocol</x:v>
      </x:c>
      <x:c r="D4" s="92" t="str">
        <x:v>Vulnerability Name</x:v>
      </x:c>
      <x:c r="E4" s="92" t="str">
        <x:v>Severity</x:v>
      </x:c>
      <x:c r="F4" s="92" t="str">
        <x:v>Target / Environment</x:v>
      </x:c>
      <x:c r="G4" s="92" t="str">
        <x:v>Endpoint / RPC / Operation</x:v>
      </x:c>
      <x:c r="H4" s="92" t="str">
        <x:v>Role / Test Identity</x:v>
      </x:c>
      <x:c r="I4" s="92" t="str">
        <x:v>Preconditions</x:v>
      </x:c>
      <x:c r="J4" s="92" t="str">
        <x:v>Baseline Evidence</x:v>
      </x:c>
      <x:c r="K4" s="92" t="str">
        <x:v>Test Request / Payload Ref</x:v>
      </x:c>
      <x:c r="L4" s="92" t="str">
        <x:v>Observed Behaviour</x:v>
      </x:c>
      <x:c r="M4" s="92" t="str">
        <x:v>Expected Behaviour</x:v>
      </x:c>
      <x:c r="N4" s="92" t="str">
        <x:v>Demonstrated Impact</x:v>
      </x:c>
      <x:c r="O4" s="92" t="str">
        <x:v>Remediation Recommendation</x:v>
      </x:c>
      <x:c r="P4" s="92" t="str">
        <x:v>Evidence File / Burp Ref</x:v>
      </x:c>
      <x:c r="Q4" s="92" t="str">
        <x:v>Status</x:v>
      </x:c>
      <x:c r="R4" s="92" t="str">
        <x:v>Retest Result</x:v>
      </x:c>
    </x:row>
    <x:row r="5" ht="92" customHeight="1">
      <x:c r="A5" s="119" t="str">
        <x:v>API-001</x:v>
      </x:c>
      <x:c r="B5" s="119" t="str">
        <x:v>REST-02</x:v>
      </x:c>
      <x:c r="C5" s="119" t="str">
        <x:v>REST</x:v>
      </x:c>
      <x:c r="D5" s="119" t="str">
        <x:v>&lt;finding title&gt;</x:v>
      </x:c>
      <x:c r="E5" s="119" t="str">
        <x:v>&lt;Critical/High/Medium/Low/Info&gt;</x:v>
      </x:c>
      <x:c r="F5" s="119" t="str">
        <x:v>&lt;UAT/local&gt;</x:v>
      </x:c>
      <x:c r="G5" s="119" t="str">
        <x:v>&lt;METHOD + path&gt;</x:v>
      </x:c>
      <x:c r="H5" s="119" t="str">
        <x:v>&lt;User A/User B role&gt;</x:v>
      </x:c>
      <x:c r="I5" s="119" t="str">
        <x:v>&lt;test data and access policy&gt;</x:v>
      </x:c>
      <x:c r="J5" s="119" t="str">
        <x:v>&lt;baseline request/response&gt;</x:v>
      </x:c>
      <x:c r="K5" s="119" t="str">
        <x:v>&lt;modified request reference&gt;</x:v>
      </x:c>
      <x:c r="L5" s="119" t="str">
        <x:v>&lt;actual result, no assumptions&gt;</x:v>
      </x:c>
      <x:c r="M5" s="119" t="str">
        <x:v>&lt;policy-defined expected result&gt;</x:v>
      </x:c>
      <x:c r="N5" s="119" t="str">
        <x:v>&lt;only impact actually proved&gt;</x:v>
      </x:c>
      <x:c r="O5" s="119" t="str">
        <x:v>&lt;specific server-side control&gt;</x:v>
      </x:c>
      <x:c r="P5" s="119" t="str">
        <x:v>&lt;sanitized file path/reference&gt;</x:v>
      </x:c>
      <x:c r="Q5" s="119" t="str">
        <x:v>In Progress</x:v>
      </x:c>
      <x:c r="R5" s="119" t="str">
        <x:v>Not Retested</x:v>
      </x:c>
    </x:row>
    <x:row r="8" ht="28" customHeight="1">
      <x:c r="A8" s="102" t="str">
        <x:v>Report structure (copy into your final report)</x:v>
      </x:c>
      <x:c r="B8" s="102"/>
      <x:c r="C8" s="102"/>
      <x:c r="D8" s="102"/>
    </x:row>
    <x:row r="9" ht="36" customHeight="1">
      <x:c r="A9" s="92" t="str">
        <x:v>Section</x:v>
      </x:c>
      <x:c r="B9" s="92" t="str">
        <x:v>What to write</x:v>
      </x:c>
      <x:c r="C9" s="92" t="str">
        <x:v>Avoid</x:v>
      </x:c>
      <x:c r="D9" s="92" t="str">
        <x:v>Evidence needed</x:v>
      </x:c>
    </x:row>
    <x:row r="10" ht="58" customHeight="1">
      <x:c r="A10" s="108" t="str">
        <x:v>Executive summary</x:v>
      </x:c>
      <x:c r="B10" s="108" t="str">
        <x:v>Scope, top verified risks, overall coverage and priorities.</x:v>
      </x:c>
      <x:c r="C10" s="108" t="str">
        <x:v>Claiming the whole API is secure from a limited test.</x:v>
      </x:c>
      <x:c r="D10" s="108" t="str">
        <x:v>Confirmed finding summary and coverage counts.</x:v>
      </x:c>
    </x:row>
    <x:row r="11" ht="58" customHeight="1">
      <x:c r="A11" s="108" t="str">
        <x:v>Scope &amp; methodology</x:v>
      </x:c>
      <x:c r="B11" s="108" t="str">
        <x:v>Hosts, versions, user roles, tools, tests, exclusions and test window.</x:v>
      </x:c>
      <x:c r="C11" s="108" t="str">
        <x:v>Testing a domain not listed in scope.</x:v>
      </x:c>
      <x:c r="D11" s="108" t="str">
        <x:v>Approval, inventory and tool/config notes.</x:v>
      </x:c>
    </x:row>
    <x:row r="12" ht="58" customHeight="1">
      <x:c r="A12" s="108" t="str">
        <x:v>API inventory</x:v>
      </x:c>
      <x:c r="B12" s="108" t="str">
        <x:v>Protocol, endpoints, auth, roles, owner, documented vs observed routes.</x:v>
      </x:c>
      <x:c r="C12" s="108" t="str">
        <x:v>Treating a route clue as definitive protocol proof.</x:v>
      </x:c>
      <x:c r="D12" s="108" t="str">
        <x:v>OpenAPI/WSDL/.proto/schema and Burp references.</x:v>
      </x:c>
    </x:row>
    <x:row r="13" ht="58" customHeight="1">
      <x:c r="A13" s="108" t="str">
        <x:v>Finding details</x:v>
      </x:c>
      <x:c r="B13" s="108" t="str">
        <x:v>Title, severity, preconditions, steps, actual vs expected, impact, remediation.</x:v>
      </x:c>
      <x:c r="C13" s="108" t="str">
        <x:v>Severity based only on a status code or scanner label.</x:v>
      </x:c>
      <x:c r="D13" s="108" t="str">
        <x:v>Sanitized baseline/modified request-response and repeatability.</x:v>
      </x:c>
    </x:row>
    <x:row r="14" ht="58" customHeight="1">
      <x:c r="A14" s="108" t="str">
        <x:v>Limitations</x:v>
      </x:c>
      <x:c r="B14" s="108" t="str">
        <x:v>Blocked/unavailable tests and missing docs/credentials/tooling.</x:v>
      </x:c>
      <x:c r="C14" s="108" t="str">
        <x:v>Marking untested controls as Pass.</x:v>
      </x:c>
      <x:c r="D14" s="108" t="str">
        <x:v>Coverage notes and blocker owner.</x:v>
      </x:c>
    </x:row>
    <x:row r="15" ht="58" customHeight="1">
      <x:c r="A15" s="109" t="str">
        <x:v>Retest</x:v>
      </x:c>
      <x:c r="B15" s="109" t="str">
        <x:v>Retest date, fix validation, remaining risk.</x:v>
      </x:c>
      <x:c r="C15" s="109" t="str">
        <x:v>Closing findings without reproducing the fix.</x:v>
      </x:c>
      <x:c r="D15" s="109" t="str">
        <x:v>Before/after evidence.</x:v>
      </x:c>
    </x:row>
  </x:sheetData>
  <x:mergeCells>
    <x:mergeCell ref="A1:R1"/>
    <x:mergeCell ref="A2:R2"/>
    <x:mergeCell ref="A8:D8"/>
  </x:mergeCells>
  <x:dataValidations count="2">
    <x:dataValidation type="list" sqref="Q5:Q100">
      <x:formula1>"Not Started,In Progress,Confirmed,False Positive,Blocked,Remediated"</x:formula1>
    </x:dataValidation>
    <x:dataValidation type="list" sqref="E5:E100">
      <x:formula1>"Critical,High,Medium,Low,Informational,TBD"</x:formula1>
    </x:dataValidation>
  </x:dataValidations>
  <x:pageMargins left="0.7" right="0.7" top="0.75" bottom="0.75" header="0.3" footer="0.3"/>
  <x:tableParts count="1">
    <x:tablePart xmlns:r="http://schemas.openxmlformats.org/officeDocument/2006/relationships" r:id="R4ec93d2547414c9e"/>
  </x:tableParts>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15" hidden="0" customWidth="1"/>
    <x:col min="3" max="3" width="17" hidden="0" customWidth="1"/>
    <x:col min="4" max="4" width="16" hidden="0" customWidth="1"/>
    <x:col min="5" max="5" width="12" hidden="0" customWidth="1"/>
    <x:col min="6" max="6" width="12" hidden="0" customWidth="1"/>
    <x:col min="7" max="7" width="13" hidden="0" customWidth="1"/>
    <x:col min="8" max="8" width="10" hidden="0" customWidth="1"/>
    <x:col min="9" max="9" width="16" hidden="0" customWidth="1"/>
  </x:cols>
  <x:sheetData>
    <x:row r="1" ht="34" customHeight="1">
      <x:c r="A1" s="5" t="str">
        <x:v>API Pentesting Test Tracker</x:v>
      </x:c>
      <x:c r="B1" s="5"/>
      <x:c r="C1" s="5"/>
      <x:c r="D1" s="5"/>
      <x:c r="E1" s="5"/>
      <x:c r="F1" s="5"/>
      <x:c r="G1" s="5"/>
      <x:c r="H1" s="5"/>
      <x:c r="I1" s="5"/>
    </x:row>
    <x:row r="2" ht="34" customHeight="1">
      <x:c r="A2" s="13" t="str">
        <x:v>Status summary auto-updates as you change Status dropdowns on each protocol sheet.</x:v>
      </x:c>
      <x:c r="B2" s="13"/>
      <x:c r="C2" s="13"/>
      <x:c r="D2" s="13"/>
      <x:c r="E2" s="13"/>
      <x:c r="F2" s="13"/>
      <x:c r="G2" s="13"/>
      <x:c r="H2" s="13"/>
      <x:c r="I2" s="13"/>
    </x:row>
    <x:row r="4" ht="34" customHeight="1">
      <x:c r="A4" s="125" t="str">
        <x:v>Protocol</x:v>
      </x:c>
      <x:c r="B4" s="125" t="str">
        <x:v>Test Cases</x:v>
      </x:c>
      <x:c r="C4" s="125" t="str">
        <x:v>Not Started</x:v>
      </x:c>
      <x:c r="D4" s="125" t="str">
        <x:v>In Progress</x:v>
      </x:c>
      <x:c r="E4" s="125" t="str">
        <x:v>Pass</x:v>
      </x:c>
      <x:c r="F4" s="125" t="str">
        <x:v>Fail</x:v>
      </x:c>
      <x:c r="G4" s="125" t="str">
        <x:v>Blocked</x:v>
      </x:c>
      <x:c r="H4" s="125" t="str">
        <x:v>N/A</x:v>
      </x:c>
      <x:c r="I4" s="125" t="str">
        <x:v>Reviewed %</x:v>
      </x:c>
    </x:row>
    <x:row r="5" ht="28" customHeight="1">
      <x:c r="A5" s="132" t="str">
        <x:v>REST</x:v>
      </x:c>
      <x:c r="B5" s="132" t="n">
        <x:f>COUNTA('REST Tests'!$A$5:$A$36)</x:f>
        <x:v>32</x:v>
      </x:c>
      <x:c r="C5" s="132" t="n">
        <x:f>COUNTIF('REST Tests'!$M$5:$M$36,"Not Started")</x:f>
        <x:v>32</x:v>
      </x:c>
      <x:c r="D5" s="132" t="n">
        <x:f>COUNTIF('REST Tests'!$M$5:$M$36,"In Progress")</x:f>
        <x:v>0</x:v>
      </x:c>
      <x:c r="E5" s="132" t="n">
        <x:f>COUNTIF('REST Tests'!$M$5:$M$36,"Pass")</x:f>
        <x:v>0</x:v>
      </x:c>
      <x:c r="F5" s="132" t="n">
        <x:f>COUNTIF('REST Tests'!$M$5:$M$36,"Fail")</x:f>
        <x:v>0</x:v>
      </x:c>
      <x:c r="G5" s="132" t="n">
        <x:f>COUNTIF('REST Tests'!$M$5:$M$36,"Blocked")</x:f>
        <x:v>0</x:v>
      </x:c>
      <x:c r="H5" s="132" t="n">
        <x:f>COUNTIF('REST Tests'!$M$5:$M$36,"N/A")</x:f>
        <x:v>0</x:v>
      </x:c>
      <x:c r="I5" s="143" t="n">
        <x:f>IF(B5=0,0,(B5-C5-D5)/B5)</x:f>
        <x:v>0</x:v>
      </x:c>
    </x:row>
    <x:row r="6" ht="28" customHeight="1">
      <x:c r="A6" s="132" t="str">
        <x:v>GraphQL</x:v>
      </x:c>
      <x:c r="B6" s="132" t="n">
        <x:f>COUNTA('GraphQL Tests'!$A$5:$A$26)</x:f>
        <x:v>22</x:v>
      </x:c>
      <x:c r="C6" s="132" t="n">
        <x:f>COUNTIF('GraphQL Tests'!$M$5:$M$26,"Not Started")</x:f>
        <x:v>22</x:v>
      </x:c>
      <x:c r="D6" s="132" t="n">
        <x:f>COUNTIF('GraphQL Tests'!$M$5:$M$26,"In Progress")</x:f>
        <x:v>0</x:v>
      </x:c>
      <x:c r="E6" s="132" t="n">
        <x:f>COUNTIF('GraphQL Tests'!$M$5:$M$26,"Pass")</x:f>
        <x:v>0</x:v>
      </x:c>
      <x:c r="F6" s="132" t="n">
        <x:f>COUNTIF('GraphQL Tests'!$M$5:$M$26,"Fail")</x:f>
        <x:v>0</x:v>
      </x:c>
      <x:c r="G6" s="132" t="n">
        <x:f>COUNTIF('GraphQL Tests'!$M$5:$M$26,"Blocked")</x:f>
        <x:v>0</x:v>
      </x:c>
      <x:c r="H6" s="132" t="n">
        <x:f>COUNTIF('GraphQL Tests'!$M$5:$M$26,"N/A")</x:f>
        <x:v>0</x:v>
      </x:c>
      <x:c r="I6" s="143" t="n">
        <x:f>IF(B6=0,0,(B6-C6-D6)/B6)</x:f>
        <x:v>0</x:v>
      </x:c>
    </x:row>
    <x:row r="7" ht="28" customHeight="1">
      <x:c r="A7" s="132" t="str">
        <x:v>gRPC</x:v>
      </x:c>
      <x:c r="B7" s="132" t="n">
        <x:f>COUNTA('gRPC Tests'!$A$5:$A$22)</x:f>
        <x:v>18</x:v>
      </x:c>
      <x:c r="C7" s="132" t="n">
        <x:f>COUNTIF('gRPC Tests'!$M$5:$M$22,"Not Started")</x:f>
        <x:v>18</x:v>
      </x:c>
      <x:c r="D7" s="132" t="n">
        <x:f>COUNTIF('gRPC Tests'!$M$5:$M$22,"In Progress")</x:f>
        <x:v>0</x:v>
      </x:c>
      <x:c r="E7" s="132" t="n">
        <x:f>COUNTIF('gRPC Tests'!$M$5:$M$22,"Pass")</x:f>
        <x:v>0</x:v>
      </x:c>
      <x:c r="F7" s="132" t="n">
        <x:f>COUNTIF('gRPC Tests'!$M$5:$M$22,"Fail")</x:f>
        <x:v>0</x:v>
      </x:c>
      <x:c r="G7" s="132" t="n">
        <x:f>COUNTIF('gRPC Tests'!$M$5:$M$22,"Blocked")</x:f>
        <x:v>0</x:v>
      </x:c>
      <x:c r="H7" s="132" t="n">
        <x:f>COUNTIF('gRPC Tests'!$M$5:$M$22,"N/A")</x:f>
        <x:v>0</x:v>
      </x:c>
      <x:c r="I7" s="143" t="n">
        <x:f>IF(B7=0,0,(B7-C7-D7)/B7)</x:f>
        <x:v>0</x:v>
      </x:c>
    </x:row>
    <x:row r="8" ht="28" customHeight="1">
      <x:c r="A8" s="132" t="str">
        <x:v>SOAP</x:v>
      </x:c>
      <x:c r="B8" s="132" t="n">
        <x:f>COUNTA('SOAP Tests'!$A$5:$A$24)</x:f>
        <x:v>20</x:v>
      </x:c>
      <x:c r="C8" s="132" t="n">
        <x:f>COUNTIF('SOAP Tests'!$M$5:$M$24,"Not Started")</x:f>
        <x:v>20</x:v>
      </x:c>
      <x:c r="D8" s="132" t="n">
        <x:f>COUNTIF('SOAP Tests'!$M$5:$M$24,"In Progress")</x:f>
        <x:v>0</x:v>
      </x:c>
      <x:c r="E8" s="132" t="n">
        <x:f>COUNTIF('SOAP Tests'!$M$5:$M$24,"Pass")</x:f>
        <x:v>0</x:v>
      </x:c>
      <x:c r="F8" s="132" t="n">
        <x:f>COUNTIF('SOAP Tests'!$M$5:$M$24,"Fail")</x:f>
        <x:v>0</x:v>
      </x:c>
      <x:c r="G8" s="132" t="n">
        <x:f>COUNTIF('SOAP Tests'!$M$5:$M$24,"Blocked")</x:f>
        <x:v>0</x:v>
      </x:c>
      <x:c r="H8" s="132" t="n">
        <x:f>COUNTIF('SOAP Tests'!$M$5:$M$24,"N/A")</x:f>
        <x:v>0</x:v>
      </x:c>
      <x:c r="I8" s="143" t="n">
        <x:f>IF(B8=0,0,(B8-C8-D8)/B8)</x:f>
        <x:v>0</x:v>
      </x:c>
    </x:row>
    <x:row r="9" ht="30" customHeight="1">
      <x:c r="A9" s="140" t="str">
        <x:v>TOTAL</x:v>
      </x:c>
      <x:c r="B9" s="140" t="n">
        <x:f>SUM(B5:B8)</x:f>
        <x:v>92</x:v>
      </x:c>
      <x:c r="C9" s="140" t="n">
        <x:f>SUM(C5:C8)</x:f>
        <x:v>92</x:v>
      </x:c>
      <x:c r="D9" s="140" t="n">
        <x:f>SUM(D5:D8)</x:f>
        <x:v>0</x:v>
      </x:c>
      <x:c r="E9" s="140" t="n">
        <x:f>SUM(E5:E8)</x:f>
        <x:v>0</x:v>
      </x:c>
      <x:c r="F9" s="140" t="n">
        <x:f>SUM(F5:F8)</x:f>
        <x:v>0</x:v>
      </x:c>
      <x:c r="G9" s="140" t="n">
        <x:f>SUM(G5:G8)</x:f>
        <x:v>0</x:v>
      </x:c>
      <x:c r="H9" s="140" t="n">
        <x:f>SUM(H5:H8)</x:f>
        <x:v>0</x:v>
      </x:c>
      <x:c r="I9" s="144" t="n">
        <x:f>IF(B9=0,0,(B9-C9-D9)/B9)</x:f>
        <x:v>0</x:v>
      </x:c>
    </x:row>
  </x:sheetData>
  <x:mergeCells>
    <x:mergeCell ref="A1:I1"/>
    <x:mergeCell ref="A2:I2"/>
  </x:mergeCells>
  <x:pageMargins left="0.7" right="0.7" top="0.75" bottom="0.75" header="0.3" footer="0.3"/>
  <x:drawing xmlns:r="http://schemas.openxmlformats.org/officeDocument/2006/relationships" r:id="R006b25083982451f"/>
  <x:tableParts count="1">
    <x:tablePart xmlns:r="http://schemas.openxmlformats.org/officeDocument/2006/relationships" r:id="Ra91c2fdbd0b94e04"/>
  </x:tableParts>
</x:worksheet>
</file>