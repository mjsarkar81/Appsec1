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5f483e8c5e445c" /></Relationships>
</file>

<file path=xl/workbook.xml><?xml version="1.0" encoding="utf-8"?>
<x:workbook xmlns:x="http://schemas.openxmlformats.org/spreadsheetml/2006/main">
  <x:sheets>
    <x:sheet xmlns:r="http://schemas.openxmlformats.org/officeDocument/2006/relationships" name="Dashboard" sheetId="1" r:id="R4e2413309ef54597"/>
    <x:sheet xmlns:r="http://schemas.openxmlformats.org/officeDocument/2006/relationships" name="Master Checklist" sheetId="2" r:id="Rb1d9c53f7e3b481d"/>
    <x:sheet xmlns:r="http://schemas.openxmlformats.org/officeDocument/2006/relationships" name="Instructions &amp; Evidence" sheetId="3" r:id="Raf64c784c5ae48de"/>
    <x:sheet xmlns:r="http://schemas.openxmlformats.org/officeDocument/2006/relationships" name="Finding Log" sheetId="4" r:id="Reee5c4d27fc24b32"/>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i/>
      <x:sz val="10"/>
      <x:color rgb="FF172B3A"/>
      <x:name val="Carlito"/>
    </x:font>
    <x:font>
      <x:b/>
      <x:sz val="10"/>
      <x:color rgb="FFFFFFFF"/>
      <x:name val="Carlito"/>
    </x:font>
    <x:font>
      <x:sz val="9"/>
      <x:color rgb="FF172B3A"/>
      <x:name val="Carlito"/>
    </x:font>
    <x:font>
      <x:b/>
      <x:sz val="18"/>
      <x:color rgb="FFFFFFFF"/>
      <x:name val="Carlito"/>
    </x:font>
    <x:font>
      <x:b/>
      <x:sz val="11"/>
      <x:color rgb="FFFFFFFF"/>
      <x:name val="Carlito"/>
    </x:font>
    <x:font>
      <x:sz val="12"/>
      <x:color rgb="FF172B3A"/>
      <x:name val="Carlito"/>
    </x:font>
    <x:font>
      <x:sz val="10"/>
      <x:color rgb="FF172B3A"/>
      <x:name val="Carlito"/>
    </x:font>
    <x:font>
      <x:b/>
      <x:sz val="17"/>
      <x:color rgb="FFFFFFFF"/>
      <x:name val="Carlito"/>
    </x:font>
    <x:font>
      <x:b/>
      <x:sz val="10"/>
      <x:color rgb="FF153B5B"/>
      <x:name val="Carlito"/>
    </x:font>
  </x:fonts>
  <x:fills count="6">
    <x:fill>
      <x:patternFill patternType="none"/>
    </x:fill>
    <x:fill>
      <x:patternFill patternType="gray125"/>
    </x:fill>
    <x:fill>
      <x:patternFill patternType="solid">
        <x:fgColor rgb="FF153B5B"/>
      </x:patternFill>
    </x:fill>
    <x:fill>
      <x:patternFill patternType="solid">
        <x:fgColor rgb="FFE8F1F8"/>
      </x:patternFill>
    </x:fill>
    <x:fill>
      <x:patternFill patternType="solid">
        <x:fgColor rgb="FF1F5E86"/>
      </x:patternFill>
    </x:fill>
    <x:fill>
      <x:patternFill patternType="solid">
        <x:fgColor rgb="FFF4F7FA"/>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5" fillId="2" borderId="1" xfId="0" applyNumberFormat="1" applyFont="1" applyFill="1" applyBorder="1"/>
    <x:xf numFmtId="0" fontId="5" fillId="2" borderId="1"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0" fillId="5" borderId="1" xfId="0" applyNumberFormat="1" applyFont="1" applyFill="1" applyBorder="1"/>
    <x:xf numFmtId="0" fontId="7" fillId="5" borderId="1"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8" fillId="0" borderId="1" xfId="0" applyNumberFormat="1" applyFont="1" applyFill="1" applyBorder="1"/>
    <x:xf numFmtId="0" fontId="8" fillId="0" borderId="1"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9" fillId="2" borderId="1" xfId="0" applyNumberFormat="1" applyFont="1" applyFill="1" applyBorder="1"/>
    <x:xf numFmtId="0" fontId="9" fillId="2" borderId="1" xfId="0" applyNumberFormat="1" applyFont="1" applyFill="1" applyBorder="1" applyAlignment="1">
      <x:alignment vertical="center"/>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10"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cellXfs>
  <x:cellStyles count="1">
    <x:cellStyle name="Normal" xfId="0"/>
  </x:cellStyles>
  <x:dxfs count="3">
    <x:dxf>
      <x:font>
        <x:b/>
        <x:color rgb="FFB42318"/>
      </x:font>
      <x:fill>
        <x:patternFill patternType="solid">
          <x:bgColor rgb="FFFCE8E6"/>
        </x:patternFill>
      </x:fill>
    </x:dxf>
    <x:dxf>
      <x:font>
        <x:b/>
        <x:color rgb="FF137333"/>
      </x:font>
      <x:fill>
        <x:patternFill patternType="solid">
          <x:bgColor rgb="FFE3F4E8"/>
        </x:patternFill>
      </x:fill>
    </x:dxf>
    <x:dxf>
      <x:font>
        <x:b/>
        <x:color rgb="FF805B1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94a1eb9bcc4e71" /><Relationship Type="http://schemas.openxmlformats.org/officeDocument/2006/relationships/theme" Target="/xl/theme/theme1.xml" Id="Rc1b2f4a61cd74550" /><Relationship Type="http://schemas.openxmlformats.org/officeDocument/2006/relationships/sharedStrings" Target="/xl/sharedStrings.xml" Id="R0cb974bc873d4065" /><Relationship Type="http://schemas.openxmlformats.org/officeDocument/2006/relationships/worksheet" Target="/xl/worksheets/sheet1.xml" Id="R4e2413309ef54597" /><Relationship Type="http://schemas.openxmlformats.org/officeDocument/2006/relationships/worksheet" Target="/xl/worksheets/sheet2.xml" Id="Rb1d9c53f7e3b481d" /><Relationship Type="http://schemas.openxmlformats.org/officeDocument/2006/relationships/worksheet" Target="/xl/worksheets/sheet3.xml" Id="Raf64c784c5ae48de" /><Relationship Type="http://schemas.openxmlformats.org/officeDocument/2006/relationships/worksheet" Target="/xl/worksheets/sheet4.xml" Id="Reee5c4d27fc24b3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76758bdc3846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Test Cases by Category</a:t>
            </a:r>
          </a:p>
        </c:rich>
      </c:tx>
      <c:overlay val="0"/>
    </c:title>
    <c:plotArea>
      <c:barChart>
        <c:barDir val="bar"/>
        <c:varyColors val="0"/>
        <c:ser>
          <c:idx val="0"/>
          <c:order val="0"/>
          <c:tx>
            <c:v>Total</c:v>
          </c:tx>
          <c:cat>
            <c:strRef>
              <c:f>'Dashboard'!$A$12:$A$19</c:f>
              <c:strCache>
                <c:ptCount val="0"/>
              </c:strCache>
            </c:strRef>
          </c:cat>
          <c:val>
            <c:numRef>
              <c:f>'Dashboard'!$B$12:$B$19</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15</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76758bdc38468a"/>
        </a:graphicData>
      </a:graphic>
    </xdr:graphicFrame>
    <xdr:clientData/>
  </xdr:twoCellAnchor>
</xdr:wsDr>
</file>

<file path=xl/tables/table1.xml><?xml version="1.0" encoding="utf-8"?>
<x:table xmlns:x="http://schemas.openxmlformats.org/spreadsheetml/2006/main" id="1" name="MasterChecklistTable" displayName="MasterChecklistTable" ref="A4:X52" headerRowCount="1" totalsRowCount="0" totalsRowShown="0">
  <x:tableColumns count="24">
    <x:tableColumn id="1" name="Test Case ID"/>
    <x:tableColumn id="2" name="Category"/>
    <x:tableColumn id="3" name="Vulnerability Name"/>
    <x:tableColumn id="4" name="Objective"/>
    <x:tableColumn id="5" name="Prerequisites &amp; Test Setup"/>
    <x:tableColumn id="6" name="Burp Suite Test Steps"/>
    <x:tableColumn id="7" name="Sample HTTP Request / Safe Payload"/>
    <x:tableColumn id="8" name="Expected Secure Behavior"/>
    <x:tableColumn id="9" name="Potentially Vulnerable Behavior"/>
    <x:tableColumn id="10" name="Pass / Fail / Inconclusive Criteria"/>
    <x:tableColumn id="11" name="Potential Impact &amp; Initial Risk"/>
    <x:tableColumn id="12" name="Remediation &amp; Retesting"/>
    <x:tableColumn id="13" name="Common False Positives"/>
    <x:tableColumn id="14" name="Evidence to Capture"/>
    <x:tableColumn id="15" name="Status"/>
    <x:tableColumn id="16" name="Actual Results / Observations"/>
    <x:tableColumn id="17" name="Affected Endpoint / Parameter"/>
    <x:tableColumn id="18" name="Test Account / Role"/>
    <x:tableColumn id="19" name="Finding ID"/>
    <x:tableColumn id="20" name="Initial Severity"/>
    <x:tableColumn id="21" name="CVSS Score"/>
    <x:tableColumn id="22" name="Owner"/>
    <x:tableColumn id="23" name="Retest Status"/>
    <x:tableColumn id="24" name="Retest Notes"/>
  </x:tableColumns>
  <x:tableStyleInfo name="TableStyleMedium2" showFirstColumn="0" showLastColumn="0" showRowStripes="1" showColumnStripes="0"/>
</x:table>
</file>

<file path=xl/tables/table2.xml><?xml version="1.0" encoding="utf-8"?>
<x:table xmlns:x="http://schemas.openxmlformats.org/spreadsheetml/2006/main" id="2" name="FindingLogTable" displayName="FindingLogTable" ref="A1:U101" headerRowCount="1" totalsRowCount="0" totalsRowShown="0">
  <x:tableColumns count="21">
    <x:tableColumn id="1" name="Finding ID"/>
    <x:tableColumn id="2" name="Test Case ID"/>
    <x:tableColumn id="3" name="Finding Title"/>
    <x:tableColumn id="4" name="Category"/>
    <x:tableColumn id="5" name="Affected Host / Application"/>
    <x:tableColumn id="6" name="Endpoint / Method"/>
    <x:tableColumn id="7" name="Parameter / Component"/>
    <x:tableColumn id="8" name="Account / Role / Tenant"/>
    <x:tableColumn id="9" name="Preconditions"/>
    <x:tableColumn id="10" name="Observed Behavior &amp; Evidence of Impact"/>
    <x:tableColumn id="11" name="Evidence Reference (redacted)"/>
    <x:tableColumn id="12" name="Initial Severity"/>
    <x:tableColumn id="13" name="CVSS Version / Vector"/>
    <x:tableColumn id="14" name="CVSS Score"/>
    <x:tableColumn id="15" name="Recommended Remediation"/>
    <x:tableColumn id="16" name="Owner"/>
    <x:tableColumn id="17" name="Status"/>
    <x:tableColumn id="18" name="Target Fix Date"/>
    <x:tableColumn id="19" name="Retest Date"/>
    <x:tableColumn id="20" name="Retest Result"/>
    <x:tableColumn id="21" name="Residual Risk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728d3f1a0674b38" /></Relationships>
</file>

<file path=xl/worksheets/_rels/sheet2.xml.rels>&#65279;<?xml version="1.0" encoding="utf-8"?><Relationships xmlns="http://schemas.openxmlformats.org/package/2006/relationships"><Relationship Type="http://schemas.openxmlformats.org/officeDocument/2006/relationships/table" Target="/xl/tables/table1.xml" Id="Rec5bb5f259454296" /></Relationships>
</file>

<file path=xl/worksheets/_rels/sheet4.xml.rels>&#65279;<?xml version="1.0" encoding="utf-8"?><Relationships xmlns="http://schemas.openxmlformats.org/package/2006/relationships"><Relationship Type="http://schemas.openxmlformats.org/officeDocument/2006/relationships/table" Target="/xl/tables/table2.xml" Id="R89f8e6cacd314766"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9" hidden="0" customWidth="1"/>
    <x:col min="2" max="2" width="12" hidden="0" customWidth="1"/>
    <x:col min="3" max="3" width="12" hidden="0" customWidth="1"/>
    <x:col min="4" max="4" width="12" hidden="0" customWidth="1"/>
    <x:col min="5" max="5" width="17" hidden="0" customWidth="1"/>
    <x:col min="6" max="6" width="14" hidden="0" customWidth="1"/>
  </x:cols>
  <x:sheetData>
    <x:row r="1" ht="36" customHeight="1">
      <x:c r="A1" s="33" t="str">
        <x:v>BURP SUITE SECURITY TESTING — DASHBOARD</x:v>
      </x:c>
      <x:c r="B1" s="33"/>
      <x:c r="C1" s="33"/>
      <x:c r="D1" s="33"/>
      <x:c r="E1" s="33"/>
      <x:c r="F1" s="33"/>
    </x:row>
    <x:row r="2" ht="26" customHeight="1">
      <x:c r="A2" s="12" t="str">
        <x:v>Assessment tracker summary. Update case status in Master Checklist; dashboard counts refresh in Excel.</x:v>
      </x:c>
      <x:c r="B2" s="12"/>
      <x:c r="C2" s="12"/>
      <x:c r="D2" s="12"/>
      <x:c r="E2" s="12"/>
      <x:c r="F2" s="12"/>
    </x:row>
    <x:row r="4" ht="23" customHeight="1">
      <x:c r="A4" s="38" t="str">
        <x:v>Metric</x:v>
      </x:c>
      <x:c r="B4" s="38" t="str">
        <x:v>Count</x:v>
      </x:c>
    </x:row>
    <x:row r="5" ht="25" customHeight="1">
      <x:c r="A5" s="43" t="str">
        <x:v>Total test cases</x:v>
      </x:c>
      <x:c r="B5" s="43" t="n">
        <x:f>COUNTA('Master Checklist'!$A$5:$A$52)</x:f>
        <x:v>48</x:v>
      </x:c>
    </x:row>
    <x:row r="6" ht="25" customHeight="1">
      <x:c r="A6" s="43" t="str">
        <x:v>Pass</x:v>
      </x:c>
      <x:c r="B6" s="43" t="n">
        <x:f>COUNTIF('Master Checklist'!$O$5:$O$52,"Pass")</x:f>
        <x:v>0</x:v>
      </x:c>
    </x:row>
    <x:row r="7" ht="25" customHeight="1">
      <x:c r="A7" s="43" t="str">
        <x:v>Fail</x:v>
      </x:c>
      <x:c r="B7" s="43" t="n">
        <x:f>COUNTIF('Master Checklist'!$O$5:$O$52,"Fail")</x:f>
        <x:v>0</x:v>
      </x:c>
    </x:row>
    <x:row r="8" ht="25" customHeight="1">
      <x:c r="A8" s="43" t="str">
        <x:v>Inconclusive</x:v>
      </x:c>
      <x:c r="B8" s="43" t="n">
        <x:f>COUNTIF('Master Checklist'!$O$5:$O$52,"Inconclusive")</x:f>
        <x:v>0</x:v>
      </x:c>
    </x:row>
    <x:row r="9" ht="25" customHeight="1">
      <x:c r="A9" s="43" t="str">
        <x:v>Not Tested</x:v>
      </x:c>
      <x:c r="B9" s="43" t="n">
        <x:f>COUNTIF('Master Checklist'!$O$5:$O$52,"Not Tested")</x:f>
        <x:v>48</x:v>
      </x:c>
    </x:row>
    <x:row r="11" ht="34" customHeight="1">
      <x:c r="A11" s="48" t="str">
        <x:v>Category</x:v>
      </x:c>
      <x:c r="B11" s="48" t="str">
        <x:v>Total</x:v>
      </x:c>
      <x:c r="C11" s="48" t="str">
        <x:v>Pass</x:v>
      </x:c>
      <x:c r="D11" s="48" t="str">
        <x:v>Fail</x:v>
      </x:c>
      <x:c r="E11" s="48" t="str">
        <x:v>Inconclusive</x:v>
      </x:c>
      <x:c r="F11" s="48" t="str">
        <x:v>Not Tested</x:v>
      </x:c>
    </x:row>
    <x:row r="12" ht="24" customHeight="1">
      <x:c r="A12" s="56" t="str">
        <x:v>Authentication</x:v>
      </x:c>
      <x:c r="B12" s="53" t="n">
        <x:f>COUNTIF('Master Checklist'!$B$5:$B$52,$A12)</x:f>
        <x:v>6</x:v>
      </x:c>
      <x:c r="C12" s="53" t="n">
        <x:f>COUNTIFS('Master Checklist'!$B$5:$B$52,$A12,'Master Checklist'!$O$5:$O$52,"Pass")</x:f>
        <x:v>0</x:v>
      </x:c>
      <x:c r="D12" s="53" t="n">
        <x:f>COUNTIFS('Master Checklist'!$B$5:$B$52,$A12,'Master Checklist'!$O$5:$O$52,"Fail")</x:f>
        <x:v>0</x:v>
      </x:c>
      <x:c r="E12" s="53" t="n">
        <x:f>COUNTIFS('Master Checklist'!$B$5:$B$52,$A12,'Master Checklist'!$O$5:$O$52,"Inconclusive")</x:f>
        <x:v>0</x:v>
      </x:c>
      <x:c r="F12" s="53" t="n">
        <x:f>COUNTIFS('Master Checklist'!$B$5:$B$52,$A12,'Master Checklist'!$O$5:$O$52,"Not Tested")</x:f>
        <x:v>6</x:v>
      </x:c>
    </x:row>
    <x:row r="13" ht="24" customHeight="1">
      <x:c r="A13" s="56" t="str">
        <x:v>Authorization &amp; Broken Access Control</x:v>
      </x:c>
      <x:c r="B13" s="53" t="n">
        <x:f>COUNTIF('Master Checklist'!$B$5:$B$52,$A13)</x:f>
        <x:v>6</x:v>
      </x:c>
      <x:c r="C13" s="53" t="n">
        <x:f>COUNTIFS('Master Checklist'!$B$5:$B$52,$A13,'Master Checklist'!$O$5:$O$52,"Pass")</x:f>
        <x:v>0</x:v>
      </x:c>
      <x:c r="D13" s="53" t="n">
        <x:f>COUNTIFS('Master Checklist'!$B$5:$B$52,$A13,'Master Checklist'!$O$5:$O$52,"Fail")</x:f>
        <x:v>0</x:v>
      </x:c>
      <x:c r="E13" s="53" t="n">
        <x:f>COUNTIFS('Master Checklist'!$B$5:$B$52,$A13,'Master Checklist'!$O$5:$O$52,"Inconclusive")</x:f>
        <x:v>0</x:v>
      </x:c>
      <x:c r="F13" s="53" t="n">
        <x:f>COUNTIFS('Master Checklist'!$B$5:$B$52,$A13,'Master Checklist'!$O$5:$O$52,"Not Tested")</x:f>
        <x:v>6</x:v>
      </x:c>
    </x:row>
    <x:row r="14" ht="24" customHeight="1">
      <x:c r="A14" s="56" t="str">
        <x:v>Injection</x:v>
      </x:c>
      <x:c r="B14" s="53" t="n">
        <x:f>COUNTIF('Master Checklist'!$B$5:$B$52,$A14)</x:f>
        <x:v>6</x:v>
      </x:c>
      <x:c r="C14" s="53" t="n">
        <x:f>COUNTIFS('Master Checklist'!$B$5:$B$52,$A14,'Master Checklist'!$O$5:$O$52,"Pass")</x:f>
        <x:v>0</x:v>
      </x:c>
      <x:c r="D14" s="53" t="n">
        <x:f>COUNTIFS('Master Checklist'!$B$5:$B$52,$A14,'Master Checklist'!$O$5:$O$52,"Fail")</x:f>
        <x:v>0</x:v>
      </x:c>
      <x:c r="E14" s="53" t="n">
        <x:f>COUNTIFS('Master Checklist'!$B$5:$B$52,$A14,'Master Checklist'!$O$5:$O$52,"Inconclusive")</x:f>
        <x:v>0</x:v>
      </x:c>
      <x:c r="F14" s="53" t="n">
        <x:f>COUNTIFS('Master Checklist'!$B$5:$B$52,$A14,'Master Checklist'!$O$5:$O$52,"Not Tested")</x:f>
        <x:v>6</x:v>
      </x:c>
    </x:row>
    <x:row r="15" ht="24" customHeight="1">
      <x:c r="A15" s="56" t="str">
        <x:v>Security Misconfiguration</x:v>
      </x:c>
      <x:c r="B15" s="53" t="n">
        <x:f>COUNTIF('Master Checklist'!$B$5:$B$52,$A15)</x:f>
        <x:v>6</x:v>
      </x:c>
      <x:c r="C15" s="53" t="n">
        <x:f>COUNTIFS('Master Checklist'!$B$5:$B$52,$A15,'Master Checklist'!$O$5:$O$52,"Pass")</x:f>
        <x:v>0</x:v>
      </x:c>
      <x:c r="D15" s="53" t="n">
        <x:f>COUNTIFS('Master Checklist'!$B$5:$B$52,$A15,'Master Checklist'!$O$5:$O$52,"Fail")</x:f>
        <x:v>0</x:v>
      </x:c>
      <x:c r="E15" s="53" t="n">
        <x:f>COUNTIFS('Master Checklist'!$B$5:$B$52,$A15,'Master Checklist'!$O$5:$O$52,"Inconclusive")</x:f>
        <x:v>0</x:v>
      </x:c>
      <x:c r="F15" s="53" t="n">
        <x:f>COUNTIFS('Master Checklist'!$B$5:$B$52,$A15,'Master Checklist'!$O$5:$O$52,"Not Tested")</x:f>
        <x:v>6</x:v>
      </x:c>
    </x:row>
    <x:row r="16" ht="24" customHeight="1">
      <x:c r="A16" s="56" t="str">
        <x:v>Client-Side</x:v>
      </x:c>
      <x:c r="B16" s="53" t="n">
        <x:f>COUNTIF('Master Checklist'!$B$5:$B$52,$A16)</x:f>
        <x:v>6</x:v>
      </x:c>
      <x:c r="C16" s="53" t="n">
        <x:f>COUNTIFS('Master Checklist'!$B$5:$B$52,$A16,'Master Checklist'!$O$5:$O$52,"Pass")</x:f>
        <x:v>0</x:v>
      </x:c>
      <x:c r="D16" s="53" t="n">
        <x:f>COUNTIFS('Master Checklist'!$B$5:$B$52,$A16,'Master Checklist'!$O$5:$O$52,"Fail")</x:f>
        <x:v>0</x:v>
      </x:c>
      <x:c r="E16" s="53" t="n">
        <x:f>COUNTIFS('Master Checklist'!$B$5:$B$52,$A16,'Master Checklist'!$O$5:$O$52,"Inconclusive")</x:f>
        <x:v>0</x:v>
      </x:c>
      <x:c r="F16" s="53" t="n">
        <x:f>COUNTIFS('Master Checklist'!$B$5:$B$52,$A16,'Master Checklist'!$O$5:$O$52,"Not Tested")</x:f>
        <x:v>6</x:v>
      </x:c>
    </x:row>
    <x:row r="17" ht="24" customHeight="1">
      <x:c r="A17" s="56" t="str">
        <x:v>Cryptographic Failures</x:v>
      </x:c>
      <x:c r="B17" s="53" t="n">
        <x:f>COUNTIF('Master Checklist'!$B$5:$B$52,$A17)</x:f>
        <x:v>6</x:v>
      </x:c>
      <x:c r="C17" s="53" t="n">
        <x:f>COUNTIFS('Master Checklist'!$B$5:$B$52,$A17,'Master Checklist'!$O$5:$O$52,"Pass")</x:f>
        <x:v>0</x:v>
      </x:c>
      <x:c r="D17" s="53" t="n">
        <x:f>COUNTIFS('Master Checklist'!$B$5:$B$52,$A17,'Master Checklist'!$O$5:$O$52,"Fail")</x:f>
        <x:v>0</x:v>
      </x:c>
      <x:c r="E17" s="53" t="n">
        <x:f>COUNTIFS('Master Checklist'!$B$5:$B$52,$A17,'Master Checklist'!$O$5:$O$52,"Inconclusive")</x:f>
        <x:v>0</x:v>
      </x:c>
      <x:c r="F17" s="53" t="n">
        <x:f>COUNTIFS('Master Checklist'!$B$5:$B$52,$A17,'Master Checklist'!$O$5:$O$52,"Not Tested")</x:f>
        <x:v>6</x:v>
      </x:c>
    </x:row>
    <x:row r="18" ht="24" customHeight="1">
      <x:c r="A18" s="56" t="str">
        <x:v>Input Validation</x:v>
      </x:c>
      <x:c r="B18" s="53" t="n">
        <x:f>COUNTIF('Master Checklist'!$B$5:$B$52,$A18)</x:f>
        <x:v>6</x:v>
      </x:c>
      <x:c r="C18" s="53" t="n">
        <x:f>COUNTIFS('Master Checklist'!$B$5:$B$52,$A18,'Master Checklist'!$O$5:$O$52,"Pass")</x:f>
        <x:v>0</x:v>
      </x:c>
      <x:c r="D18" s="53" t="n">
        <x:f>COUNTIFS('Master Checklist'!$B$5:$B$52,$A18,'Master Checklist'!$O$5:$O$52,"Fail")</x:f>
        <x:v>0</x:v>
      </x:c>
      <x:c r="E18" s="53" t="n">
        <x:f>COUNTIFS('Master Checklist'!$B$5:$B$52,$A18,'Master Checklist'!$O$5:$O$52,"Inconclusive")</x:f>
        <x:v>0</x:v>
      </x:c>
      <x:c r="F18" s="53" t="n">
        <x:f>COUNTIFS('Master Checklist'!$B$5:$B$52,$A18,'Master Checklist'!$O$5:$O$52,"Not Tested")</x:f>
        <x:v>6</x:v>
      </x:c>
    </x:row>
    <x:row r="19" ht="24" customHeight="1">
      <x:c r="A19" s="56" t="str">
        <x:v>Cross-category Supplemental Checks</x:v>
      </x:c>
      <x:c r="B19" s="53" t="n">
        <x:f>COUNTIF('Master Checklist'!$B$5:$B$52,$A19)</x:f>
        <x:v>6</x:v>
      </x:c>
      <x:c r="C19" s="53" t="n">
        <x:f>COUNTIFS('Master Checklist'!$B$5:$B$52,$A19,'Master Checklist'!$O$5:$O$52,"Pass")</x:f>
        <x:v>0</x:v>
      </x:c>
      <x:c r="D19" s="53" t="n">
        <x:f>COUNTIFS('Master Checklist'!$B$5:$B$52,$A19,'Master Checklist'!$O$5:$O$52,"Fail")</x:f>
        <x:v>0</x:v>
      </x:c>
      <x:c r="E19" s="53" t="n">
        <x:f>COUNTIFS('Master Checklist'!$B$5:$B$52,$A19,'Master Checklist'!$O$5:$O$52,"Inconclusive")</x:f>
        <x:v>0</x:v>
      </x:c>
      <x:c r="F19" s="53" t="n">
        <x:f>COUNTIFS('Master Checklist'!$B$5:$B$52,$A19,'Master Checklist'!$O$5:$O$52,"Not Tested")</x:f>
        <x:v>6</x:v>
      </x:c>
    </x:row>
  </x:sheetData>
  <x:mergeCells>
    <x:mergeCell ref="A1:F1"/>
    <x:mergeCell ref="A2:F2"/>
  </x:mergeCells>
  <x:pageMargins left="0.7" right="0.7" top="0.75" bottom="0.75" header="0.3" footer="0.3"/>
  <x:drawing xmlns:r="http://schemas.openxmlformats.org/officeDocument/2006/relationships" r:id="R6728d3f1a0674b38"/>
</x:worksheet>
</file>

<file path=xl/worksheets/sheet2.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3" hidden="0" customWidth="1"/>
    <x:col min="2" max="2" width="31" hidden="0" customWidth="1"/>
    <x:col min="3" max="3" width="39" hidden="0" customWidth="1"/>
    <x:col min="4" max="4" width="36" hidden="0" customWidth="1"/>
    <x:col min="5" max="5" width="38" hidden="0" customWidth="1"/>
    <x:col min="6" max="6" width="45" hidden="0" customWidth="1"/>
    <x:col min="7" max="7" width="40" hidden="0" customWidth="1"/>
    <x:col min="8" max="8" width="36" hidden="0" customWidth="1"/>
    <x:col min="9" max="9" width="36" hidden="0" customWidth="1"/>
    <x:col min="10" max="10" width="44" hidden="0" customWidth="1"/>
    <x:col min="11" max="11" width="34" hidden="0" customWidth="1"/>
    <x:col min="12" max="12" width="42" hidden="0" customWidth="1"/>
    <x:col min="13" max="13" width="34" hidden="0" customWidth="1"/>
    <x:col min="14" max="14" width="36" hidden="0" customWidth="1"/>
    <x:col min="15" max="15" width="15" hidden="0" customWidth="1"/>
    <x:col min="16" max="16" width="34" hidden="0" customWidth="1"/>
    <x:col min="17" max="17" width="25" hidden="0" customWidth="1"/>
    <x:col min="18" max="18" width="20" hidden="0" customWidth="1"/>
    <x:col min="19" max="19" width="14" hidden="0" customWidth="1"/>
    <x:col min="20" max="20" width="16" hidden="0" customWidth="1"/>
    <x:col min="21" max="21" width="13" hidden="0" customWidth="1"/>
    <x:col min="22" max="22" width="18" hidden="0" customWidth="1"/>
    <x:col min="23" max="23" width="16" hidden="0" customWidth="1"/>
    <x:col min="24" max="24" width="30" hidden="0" customWidth="1"/>
  </x:cols>
  <x:sheetData>
    <x:row r="1" ht="32" customHeight="1">
      <x:c r="A1" s="5" t="str">
        <x:v>WEB APPLICATION SECURITY TESTING CHECKLIST — MASTER REGISTER</x:v>
      </x:c>
      <x:c r="B1" s="5"/>
      <x:c r="C1" s="5"/>
      <x:c r="D1" s="5"/>
      <x:c r="E1" s="5"/>
      <x:c r="F1" s="5"/>
      <x:c r="G1" s="5"/>
      <x:c r="H1" s="5"/>
      <x:c r="I1" s="5"/>
      <x:c r="J1" s="5"/>
      <x:c r="K1" s="5"/>
      <x:c r="L1" s="5"/>
      <x:c r="M1" s="5"/>
      <x:c r="N1" s="5"/>
      <x:c r="O1" s="5"/>
      <x:c r="P1" s="5"/>
      <x:c r="Q1" s="5"/>
      <x:c r="R1" s="5"/>
      <x:c r="S1" s="5"/>
      <x:c r="T1" s="5"/>
      <x:c r="U1" s="5"/>
      <x:c r="V1" s="5"/>
      <x:c r="W1" s="5"/>
      <x:c r="X1" s="5"/>
    </x:row>
    <x:row r="2" ht="26" customHeight="1">
      <x:c r="A2" s="13" t="str">
        <x:v>48 test cases • Seven core categories plus supplemental checks • Update Status, results, severity, ownership and retest fields during the assessment.</x:v>
      </x:c>
      <x:c r="B2" s="13"/>
      <x:c r="C2" s="13"/>
      <x:c r="D2" s="13"/>
      <x:c r="E2" s="13"/>
      <x:c r="F2" s="13"/>
      <x:c r="G2" s="13"/>
      <x:c r="H2" s="13"/>
      <x:c r="I2" s="13"/>
      <x:c r="J2" s="13"/>
      <x:c r="K2" s="13"/>
      <x:c r="L2" s="13"/>
      <x:c r="M2" s="13"/>
      <x:c r="N2" s="13"/>
      <x:c r="O2" s="13"/>
      <x:c r="P2" s="13"/>
      <x:c r="Q2" s="13"/>
      <x:c r="R2" s="13"/>
      <x:c r="S2" s="13"/>
      <x:c r="T2" s="13"/>
      <x:c r="U2" s="13"/>
      <x:c r="V2" s="13"/>
      <x:c r="W2" s="13"/>
      <x:c r="X2" s="13"/>
    </x:row>
    <x:row r="4" ht="42" customHeight="1">
      <x:c r="A4" s="23" t="str">
        <x:v>Test Case ID</x:v>
      </x:c>
      <x:c r="B4" s="23" t="str">
        <x:v>Category</x:v>
      </x:c>
      <x:c r="C4" s="23" t="str">
        <x:v>Vulnerability Name</x:v>
      </x:c>
      <x:c r="D4" s="23" t="str">
        <x:v>Objective</x:v>
      </x:c>
      <x:c r="E4" s="23" t="str">
        <x:v>Prerequisites &amp; Test Setup</x:v>
      </x:c>
      <x:c r="F4" s="23" t="str">
        <x:v>Burp Suite Test Steps</x:v>
      </x:c>
      <x:c r="G4" s="23" t="str">
        <x:v>Sample HTTP Request / Safe Payload</x:v>
      </x:c>
      <x:c r="H4" s="23" t="str">
        <x:v>Expected Secure Behavior</x:v>
      </x:c>
      <x:c r="I4" s="23" t="str">
        <x:v>Potentially Vulnerable Behavior</x:v>
      </x:c>
      <x:c r="J4" s="23" t="str">
        <x:v>Pass / Fail / Inconclusive Criteria</x:v>
      </x:c>
      <x:c r="K4" s="23" t="str">
        <x:v>Potential Impact &amp; Initial Risk</x:v>
      </x:c>
      <x:c r="L4" s="23" t="str">
        <x:v>Remediation &amp; Retesting</x:v>
      </x:c>
      <x:c r="M4" s="23" t="str">
        <x:v>Common False Positives</x:v>
      </x:c>
      <x:c r="N4" s="23" t="str">
        <x:v>Evidence to Capture</x:v>
      </x:c>
      <x:c r="O4" s="23" t="str">
        <x:v>Status</x:v>
      </x:c>
      <x:c r="P4" s="23" t="str">
        <x:v>Actual Results / Observations</x:v>
      </x:c>
      <x:c r="Q4" s="23" t="str">
        <x:v>Affected Endpoint / Parameter</x:v>
      </x:c>
      <x:c r="R4" s="23" t="str">
        <x:v>Test Account / Role</x:v>
      </x:c>
      <x:c r="S4" s="23" t="str">
        <x:v>Finding ID</x:v>
      </x:c>
      <x:c r="T4" s="23" t="str">
        <x:v>Initial Severity</x:v>
      </x:c>
      <x:c r="U4" s="23" t="str">
        <x:v>CVSS Score</x:v>
      </x:c>
      <x:c r="V4" s="23" t="str">
        <x:v>Owner</x:v>
      </x:c>
      <x:c r="W4" s="23" t="str">
        <x:v>Retest Status</x:v>
      </x:c>
      <x:c r="X4" s="23" t="str">
        <x:v>Retest Notes</x:v>
      </x:c>
    </x:row>
    <x:row r="5" ht="78" customHeight="1">
      <x:c r="A5" s="29" t="str">
        <x:v>AUTH-01</x:v>
      </x:c>
      <x:c r="B5" s="29" t="str">
        <x:v>Authentication</x:v>
      </x:c>
      <x:c r="C5" s="29" t="str">
        <x:v>Username enumeration</x:v>
      </x:c>
      <x:c r="D5" s="29" t="str">
        <x:v>Determine whether login or recovery endpoints reveal whether an account exists.</x:v>
      </x:c>
      <x:c r="E5" s="29" t="str">
        <x:v>One known test account, one deliberately nonexistent username, a test mailbox if recovery is in scope; capture baseline login and recovery responses.</x:v>
      </x:c>
      <x:c r="F5" s="29" t="str">
        <x:v>1. Submit the same wrong password for both usernames in Repeater. 2. Compare status, message, body length, redirect, and timing across a few repetitions. 3. Repeat with recovery request responses. Do not send messages to anyone except the controlled test mailbox.</x:v>
      </x:c>
      <x:c r="G5" s="29" t="str">
        <x:v>POST /login with username=known-test-user and password=WrongTestOnly!; repeat with username=nonexistent-test-user.</x:v>
      </x:c>
      <x:c r="H5" s="29" t="str">
        <x:v>Generic, materially similar login/recovery messages and no reliable account-specific timing oracle.</x:v>
      </x:c>
      <x:c r="I5" s="29" t="str">
        <x:v>Explicit account-exists / account-missing differences or a repeatable response/timing oracle.</x:v>
      </x:c>
      <x:c r="J5" s="29" t="str">
        <x:v>PASS if tested paths do not materially disclose account existence; FAIL if enumeration is repeatably demonstrated; INCONCLUSIVE if throttling, CAPTCHA, identity-provider behavior, or latency noise prevents interpretation.</x:v>
      </x:c>
      <x:c r="K5" s="29" t="str">
        <x:v>Medium as an enabler for targeted phishing and credential attacks; greater when combined with weak passwords or no MFA.</x:v>
      </x:c>
      <x:c r="L5" s="29" t="str">
        <x:v>Normalize messages and response behavior, monitor enumeration patterns, and apply proportionate throttling without creating easy denial-of-service account lockout. Retest login and recovery flows.</x:v>
      </x:c>
      <x:c r="M5" s="29" t="str">
        <x:v>Different timing may be network noise; a different status may reflect CAPTCHA or account state rather than existence. Repeat and compare equivalent states.</x:v>
      </x:c>
      <x:c r="N5" s="29" t="str">
        <x:v>Redacted request/response pair for known and unknown test identities, timestamps, role, response lengths, and comparison notes.</x:v>
      </x:c>
      <x:c r="O5" s="29" t="str">
        <x:v>Not Tested</x:v>
      </x:c>
      <x:c r="P5" s="29" t="str"/>
      <x:c r="Q5" s="29" t="str"/>
      <x:c r="R5" s="29" t="str"/>
      <x:c r="S5" s="29" t="str"/>
      <x:c r="T5" s="29" t="str"/>
      <x:c r="U5" s="29" t="str"/>
      <x:c r="V5" s="29" t="str"/>
      <x:c r="W5" s="29" t="str">
        <x:v>Not Started</x:v>
      </x:c>
      <x:c r="X5" s="29" t="str"/>
    </x:row>
    <x:row r="6" ht="78" customHeight="1">
      <x:c r="A6" s="29" t="str">
        <x:v>AUTH-02</x:v>
      </x:c>
      <x:c r="B6" s="29" t="str">
        <x:v>Authentication</x:v>
      </x:c>
      <x:c r="C6" s="29" t="str">
        <x:v>Brute-force protection, rate limiting, and credential-stuffing defenses</x:v>
      </x:c>
      <x:c r="D6" s="29" t="str">
        <x:v>Evaluate whether repeated failed login attempts are safely constrained and monitored.</x:v>
      </x:c>
      <x:c r="E6" s="29" t="str">
        <x:v>A dedicated test account, approved attempt threshold and rate, and explicit permission for a small repeated-login test.</x:v>
      </x:c>
      <x:c r="F6" s="29" t="str">
        <x:v>1. Record normal login behavior. 2. Submit a small number of incorrect passwords at the approved low rate. 3. Inspect status codes, Retry-After, delay/challenge behavior, account-specific controls, and whether a second test account is also affected. 4. Stop at the approved limit; do not run a password list.</x:v>
      </x:c>
      <x:c r="G6" s="29" t="str">
        <x:v>POST /login with username=security-test-user and a small set of known-invalid test passwords.</x:v>
      </x:c>
      <x:c r="H6" s="29" t="str">
        <x:v>Effective adaptive throttling, delays, risk-based challenges, detection, and recovery that resist automation without allowing trivial account lockout abuse.</x:v>
      </x:c>
      <x:c r="I6" s="29" t="str">
        <x:v>Repeated attempts remain effectively unlimited at the tested rate with no compensating defense or detection.</x:v>
      </x:c>
      <x:c r="J6" s="29" t="str">
        <x:v>PASS if an effective control triggers within the agreed threshold; FAIL if unrestricted guessing is demonstrated under the approved test; INCONCLUSIVE if CDN/WAF/identity-provider controls or test limitations obscure the result.</x:v>
      </x:c>
      <x:c r="K6" s="29" t="str">
        <x:v>High when paired with weak/reused passwords or account enumeration.</x:v>
      </x:c>
      <x:c r="L6" s="29" t="str">
        <x:v>Layer account- and source-aware rate controls, breached-password screening, MFA/passkeys where appropriate, alerting, and lockout designs resistant to abuse. Retest within approved thresholds.</x:v>
      </x:c>
      <x:c r="M6" s="29" t="str">
        <x:v>A 429 response is useful but not sufficient alone; verify that controls are applied consistently and do not merely block one proxy IP.</x:v>
      </x:c>
      <x:c r="N6" s="29" t="str">
        <x:v>Attempt count/rate, test account, timestamps, status/headers, and any alert or challenge evidence; redact credentials.</x:v>
      </x:c>
      <x:c r="O6" s="29" t="str">
        <x:v>Not Tested</x:v>
      </x:c>
      <x:c r="P6" s="29" t="str"/>
      <x:c r="Q6" s="29" t="str"/>
      <x:c r="R6" s="29" t="str"/>
      <x:c r="S6" s="29" t="str"/>
      <x:c r="T6" s="29" t="str"/>
      <x:c r="U6" s="29" t="str"/>
      <x:c r="V6" s="29" t="str"/>
      <x:c r="W6" s="29" t="str">
        <x:v>Not Started</x:v>
      </x:c>
      <x:c r="X6" s="29" t="str"/>
    </x:row>
    <x:row r="7" ht="78" customHeight="1">
      <x:c r="A7" s="29" t="str">
        <x:v>AUTH-03</x:v>
      </x:c>
      <x:c r="B7" s="29" t="str">
        <x:v>Authentication</x:v>
      </x:c>
      <x:c r="C7" s="29" t="str">
        <x:v>Weak password policy and password-change flow</x:v>
      </x:c>
      <x:c r="D7" s="29" t="str">
        <x:v>Check whether server-side password rules and proof of account control are consistently enforced.</x:v>
      </x:c>
      <x:c r="E7" s="29" t="str">
        <x:v>Dedicated account and documented password policy, if available. Avoid changes to an account used by anyone else.</x:v>
      </x:c>
      <x:c r="F7" s="29" t="str">
        <x:v>1. Try a short, common test password and a long passphrase at policy boundaries. 2. Repeat via UI and direct API request. 3. Attempt a password change without the old password or required re-authentication where policy expects it. 4. Confirm persistence using the test account.</x:v>
      </x:c>
      <x:c r="G7" s="29" t="str">
        <x:v>POST /api/account/password with a test-only proposed password outside the documented minimum.</x:v>
      </x:c>
      <x:c r="H7" s="29" t="str">
        <x:v>Server-side length and breached/common-password controls match policy; long passphrases are handled safely; sensitive changes require appropriate re-authentication.</x:v>
      </x:c>
      <x:c r="I7" s="29" t="str">
        <x:v>A security-relevant policy is bypassed through the API or password can be changed without required proof.</x:v>
      </x:c>
      <x:c r="J7" s="29" t="str">
        <x:v>PASS if policy is consistently enforced; FAIL if a meaningful server-side bypass is reproducible; INCONCLUSIVE if no agreed policy exists or password change cannot be safely completed.</x:v>
      </x:c>
      <x:c r="K7" s="29" t="str">
        <x:v>Medium to High depending on account value and MFA.</x:v>
      </x:c>
      <x:c r="L7" s="29" t="str">
        <x:v>Enforce policy on the server and every API path, permit long passwords safely, use secure password hashing, and re-authenticate for sensitive changes. Retest UI/API paths.</x:v>
      </x:c>
      <x:c r="M7" s="29" t="str">
        <x:v>A UI validation message does not prove server enforcement; conversely, acceptance of a long password is not automatically a weakness.</x:v>
      </x:c>
      <x:c r="N7" s="29" t="str">
        <x:v>Policy reference, exact test boundary, request/response, and confirmation of persisted state.</x:v>
      </x:c>
      <x:c r="O7" s="29" t="str">
        <x:v>Not Tested</x:v>
      </x:c>
      <x:c r="P7" s="29" t="str"/>
      <x:c r="Q7" s="29" t="str"/>
      <x:c r="R7" s="29" t="str"/>
      <x:c r="S7" s="29" t="str"/>
      <x:c r="T7" s="29" t="str"/>
      <x:c r="U7" s="29" t="str"/>
      <x:c r="V7" s="29" t="str"/>
      <x:c r="W7" s="29" t="str">
        <x:v>Not Started</x:v>
      </x:c>
      <x:c r="X7" s="29" t="str"/>
    </x:row>
    <x:row r="8" ht="78" customHeight="1">
      <x:c r="A8" s="29" t="str">
        <x:v>AUTH-04</x:v>
      </x:c>
      <x:c r="B8" s="29" t="str">
        <x:v>Authentication</x:v>
      </x:c>
      <x:c r="C8" s="29" t="str">
        <x:v>Password reset and account recovery token lifecycle</x:v>
      </x:c>
      <x:c r="D8" s="29" t="str">
        <x:v>Verify reset proof cannot be guessed, reused, or manipulated and reset links are built safely.</x:v>
      </x:c>
      <x:c r="E8" s="29" t="str">
        <x:v>Dedicated test user and controlled email inbox; test reset flow only.</x:v>
      </x:c>
      <x:c r="F8" s="29" t="str">
        <x:v>1. Request reset and inspect response uniformity. 2. Use the delivered token once. 3. Replay it after successful reset and test expiry if supported. 4. Check host/proxy headers do not influence the generated public reset URL. 5. Verify old sessions are invalidated or handled according to policy.</x:v>
      </x:c>
      <x:c r="G8" s="29" t="str">
        <x:v>POST /password-reset/request with the test account email; then use only the received test reset link.</x:v>
      </x:c>
      <x:c r="H8" s="29" t="str">
        <x:v>High-entropy, short-lived, single-use token; trusted canonical URL; generic request response; password update triggers appropriate session/recovery handling.</x:v>
      </x:c>
      <x:c r="I8" s="29" t="str">
        <x:v>A used/expired token works, token is demonstrably predictable, untrusted host controls reset origin, or recovery completes without proving account control.</x:v>
      </x:c>
      <x:c r="J8" s="29" t="str">
        <x:v>PASS if observed lifecycle controls hold; FAIL if token reuse, unauthorized reset, or unsafe URL construction is confirmed; INCONCLUSIVE if email or token internals cannot be tested.</x:v>
      </x:c>
      <x:c r="K8" s="29" t="str">
        <x:v>High to Critical if it permits account takeover.</x:v>
      </x:c>
      <x:c r="L8" s="29" t="str">
        <x:v>Use CSPRNG-generated single-use tokens, short TTLs, trusted host configuration, rate controls, audit logging, and session invalidation. Retest complete lifecycle.</x:v>
      </x:c>
      <x:c r="M8" s="29" t="str">
        <x:v>A token’s length/appearance alone does not prove entropy; cached pages or mail delays can mimic reuse.</x:v>
      </x:c>
      <x:c r="N8" s="29" t="str">
        <x:v>Redacted reset request/response, token issue/expiry/reuse timestamps, controlled mailbox result, and session test.</x:v>
      </x:c>
      <x:c r="O8" s="29" t="str">
        <x:v>Not Tested</x:v>
      </x:c>
      <x:c r="P8" s="29" t="str"/>
      <x:c r="Q8" s="29" t="str"/>
      <x:c r="R8" s="29" t="str"/>
      <x:c r="S8" s="29" t="str"/>
      <x:c r="T8" s="29" t="str"/>
      <x:c r="U8" s="29" t="str"/>
      <x:c r="V8" s="29" t="str"/>
      <x:c r="W8" s="29" t="str">
        <x:v>Not Started</x:v>
      </x:c>
      <x:c r="X8" s="29" t="str"/>
    </x:row>
    <x:row r="9" ht="78" customHeight="1">
      <x:c r="A9" s="29" t="str">
        <x:v>AUTH-05</x:v>
      </x:c>
      <x:c r="B9" s="29" t="str">
        <x:v>Authentication</x:v>
      </x:c>
      <x:c r="C9" s="29" t="str">
        <x:v>MFA enforcement, bypass paths, and recovery factors</x:v>
      </x:c>
      <x:c r="D9" s="29" t="str">
        <x:v>Confirm second-factor completion is enforced server-side for all protected routes.</x:v>
      </x:c>
      <x:c r="E9" s="29" t="str">
        <x:v>A test account with MFA enabled and a test-only recovery route, where permitted.</x:v>
      </x:c>
      <x:c r="F9" s="29" t="str">
        <x:v>1. Begin login and stop before MFA completion. 2. Replay the pre-MFA cookie to a protected read-only endpoint. 3. Try direct navigation/API access before completing MFA. 4. After a normal MFA login, test a deliberately invalid factor and review recovery-path controls.</x:v>
      </x:c>
      <x:c r="G9" s="29" t="str">
        <x:v>GET /api/account/summary using only the pre-MFA session cookie.</x:v>
      </x:c>
      <x:c r="H9" s="29" t="str">
        <x:v>Pre-MFA sessions cannot access protected resources; invalid factors are denied; recovery routes have appropriate proof and monitoring.</x:v>
      </x:c>
      <x:c r="I9" s="29" t="str">
        <x:v>A protected endpoint accepts a pre-MFA session or a repeatable factor/recovery bypass works.</x:v>
      </x:c>
      <x:c r="J9" s="29" t="str">
        <x:v>PASS if all tested routes enforce MFA state; FAIL if protected access succeeds before MFA or factor validation is bypassed; INCONCLUSIVE if enforcement is delegated to an unavailable identity provider.</x:v>
      </x:c>
      <x:c r="K9" s="29" t="str">
        <x:v>High to Critical, depending on account privilege.</x:v>
      </x:c>
      <x:c r="L9" s="29" t="str">
        <x:v>Represent MFA completion in server-side session state, enforce it on every protected API, secure recovery flows, rotate session identifiers, and alert on factor changes. Retest alternative routes and APIs.</x:v>
      </x:c>
      <x:c r="M9" s="29" t="str">
        <x:v>Public routes and endpoints intended to complete MFA may work before second factor; confirm the resource is truly protected.</x:v>
      </x:c>
      <x:c r="N9" s="29" t="str">
        <x:v>Pre-MFA and post-MFA redacted requests, account configuration, endpoint, and the exact access granted/denied.</x:v>
      </x:c>
      <x:c r="O9" s="29" t="str">
        <x:v>Not Tested</x:v>
      </x:c>
      <x:c r="P9" s="29" t="str"/>
      <x:c r="Q9" s="29" t="str"/>
      <x:c r="R9" s="29" t="str"/>
      <x:c r="S9" s="29" t="str"/>
      <x:c r="T9" s="29" t="str"/>
      <x:c r="U9" s="29" t="str"/>
      <x:c r="V9" s="29" t="str"/>
      <x:c r="W9" s="29" t="str">
        <x:v>Not Started</x:v>
      </x:c>
      <x:c r="X9" s="29" t="str"/>
    </x:row>
    <x:row r="10" ht="78" customHeight="1">
      <x:c r="A10" s="29" t="str">
        <x:v>AUTH-06</x:v>
      </x:c>
      <x:c r="B10" s="29" t="str">
        <x:v>Authentication</x:v>
      </x:c>
      <x:c r="C10" s="29" t="str">
        <x:v>Session fixation, hijacking exposure, logout, expiry, and remember-me</x:v>
      </x:c>
      <x:c r="D10" s="29" t="str">
        <x:v>Check session rotation, revocation, cookie protections, idle/absolute expiry, and persistent-login behavior.</x:v>
      </x:c>
      <x:c r="E10" s="29" t="str">
        <x:v>Dedicated account and a controlled browser; capture test session cookies securely and redact them from reports.</x:v>
      </x:c>
      <x:c r="F10" s="29" t="str">
        <x:v>1. Record the pre-auth session identifier and compare it after login. 2. Test a safe endpoint with the old identifier. 3. Log out, replay the old session, and check whether it remains valid. 4. Test configured idle/absolute expiry and remember-me revocation.</x:v>
      </x:c>
      <x:c r="G10" s="29" t="str">
        <x:v>Replay the redacted test session cookie after logout to GET /api/account/summary.</x:v>
      </x:c>
      <x:c r="H10" s="29" t="str">
        <x:v>Session rotates after authentication/privilege changes; server invalidates on logout and expiry; cookies have appropriate Secure, HttpOnly, SameSite and scope; remember-me tokens are revocable.</x:v>
      </x:c>
      <x:c r="I10" s="29" t="str">
        <x:v>Old session retains authenticated access after logout or authentication, or persistent token cannot be revoked as designed.</x:v>
      </x:c>
      <x:c r="J10" s="29" t="str">
        <x:v>PASS if lifecycle behavior matches policy; FAIL if stale session reuse is reproducible; INCONCLUSIVE if session backend behavior cannot be observed.</x:v>
      </x:c>
      <x:c r="K10" s="29" t="str">
        <x:v>High if stolen/reused tokens permit account access.</x:v>
      </x:c>
      <x:c r="L10" s="29" t="str">
        <x:v>Use server-side invalidation, rotation, risk-appropriate lifetimes, protected cookie attributes, and revocable rotating remember-me tokens. Retest all session transitions.</x:v>
      </x:c>
      <x:c r="M10" s="29" t="str">
        <x:v>A client-side cookie disappearing does not prove server-side invalidation; test replay.</x:v>
      </x:c>
      <x:c r="N10" s="29" t="str">
        <x:v>Before/after cookie attributes with values redacted, status/body from replay, logout sequence, and expiry timestamps.</x:v>
      </x:c>
      <x:c r="O10" s="29" t="str">
        <x:v>Not Tested</x:v>
      </x:c>
      <x:c r="P10" s="29" t="str"/>
      <x:c r="Q10" s="29" t="str"/>
      <x:c r="R10" s="29" t="str"/>
      <x:c r="S10" s="29" t="str"/>
      <x:c r="T10" s="29" t="str"/>
      <x:c r="U10" s="29" t="str"/>
      <x:c r="V10" s="29" t="str"/>
      <x:c r="W10" s="29" t="str">
        <x:v>Not Started</x:v>
      </x:c>
      <x:c r="X10" s="29" t="str"/>
    </x:row>
    <x:row r="11" ht="78" customHeight="1">
      <x:c r="A11" s="29" t="str">
        <x:v>AUTHZ-01</x:v>
      </x:c>
      <x:c r="B11" s="29" t="str">
        <x:v>Authorization &amp; Broken Access Control</x:v>
      </x:c>
      <x:c r="C11" s="29" t="str">
        <x:v>BOLA / IDOR on record identifiers</x:v>
      </x:c>
      <x:c r="D11" s="29" t="str">
        <x:v>Determine whether a user can read another user’s object by changing an identifier.</x:v>
      </x:c>
      <x:c r="E11" s="29" t="str">
        <x:v>User A and User B; each owns a synthetic record (invoice, ticket, profile, or order) with known test IDs.</x:v>
      </x:c>
      <x:c r="F11" s="29" t="str">
        <x:v>1. Capture User A’s normal read request. 2. In Repeater replace only A’s object ID with B’s synthetic ID. 3. Compare as A, B, and anonymous if relevant. 4. Repeat on a second record type if in scope; do not alter/delete objects.</x:v>
      </x:c>
      <x:c r="G11" s="29" t="str">
        <x:v>GET /api/invoices/INV-B-TEST with User A’s session.</x:v>
      </x:c>
      <x:c r="H11" s="29" t="str">
        <x:v>403/404 or only data the caller is authorized to see; no metadata leak beyond policy.</x:v>
      </x:c>
      <x:c r="I11" s="29" t="str">
        <x:v>User A receives B’s record or sensitive fields despite lacking sharing/ownership rights.</x:v>
      </x:c>
      <x:c r="J11" s="29" t="str">
        <x:v>PASS if cross-owner access is denied; FAIL if another test user’s object is disclosed; INCONCLUSIVE if the ID is invalid or documented sharing semantics are unclear.</x:v>
      </x:c>
      <x:c r="K11" s="29" t="str">
        <x:v>High; privacy breach and potential regulatory/business consequences.</x:v>
      </x:c>
      <x:c r="L11" s="29" t="str">
        <x:v>Authorize object ownership/sharing on every server request; scope data queries to the authenticated principal. Retest read/update/delete/export operations with synthetic objects.</x:v>
      </x:c>
      <x:c r="M11" s="29" t="str">
        <x:v>Some objects may intentionally be shared; prove the expected access policy before marking FAIL.</x:v>
      </x:c>
      <x:c r="N11" s="29" t="str">
        <x:v>A-owned and B-owned synthetic record IDs, both session roles, request/response pair, and exposed fields.</x:v>
      </x:c>
      <x:c r="O11" s="29" t="str">
        <x:v>Not Tested</x:v>
      </x:c>
      <x:c r="P11" s="29" t="str"/>
      <x:c r="Q11" s="29" t="str"/>
      <x:c r="R11" s="29" t="str"/>
      <x:c r="S11" s="29" t="str"/>
      <x:c r="T11" s="29" t="str"/>
      <x:c r="U11" s="29" t="str"/>
      <x:c r="V11" s="29" t="str"/>
      <x:c r="W11" s="29" t="str">
        <x:v>Not Started</x:v>
      </x:c>
      <x:c r="X11" s="29" t="str"/>
    </x:row>
    <x:row r="12" ht="78" customHeight="1">
      <x:c r="A12" s="29" t="str">
        <x:v>AUTHZ-02</x:v>
      </x:c>
      <x:c r="B12" s="29" t="str">
        <x:v>Authorization &amp; Broken Access Control</x:v>
      </x:c>
      <x:c r="C12" s="29" t="str">
        <x:v>Horizontal privilege escalation and nested-object authorization</x:v>
      </x:c>
      <x:c r="D12" s="29" t="str">
        <x:v>Check whether same-role users can access or modify one another’s nested resources.</x:v>
      </x:c>
      <x:c r="E12" s="29" t="str">
        <x:v>Two same-role test users with separate test tickets, files, comments, or attachments.</x:v>
      </x:c>
      <x:c r="F12" s="29" t="str">
        <x:v>1. Capture a request for a nested object owned by A. 2. Substitute B’s synthetic parent or child ID separately. 3. Test list, detail and download routes; use non-mutating reads first. 4. For updates, use only a disposable reversible fixture if approved.</x:v>
      </x:c>
      <x:c r="G12" s="29" t="str">
        <x:v>GET /api/tickets/TICKET-B-TEST/attachments/FILE-B-TEST using User A.</x:v>
      </x:c>
      <x:c r="H12" s="29" t="str">
        <x:v>Parent and child relationships are checked against the authenticated user and tenant.</x:v>
      </x:c>
      <x:c r="I12" s="29" t="str">
        <x:v>Access control checks the child ID alone or trusts a caller-supplied owner/parent ID.</x:v>
      </x:c>
      <x:c r="J12" s="29" t="str">
        <x:v>PASS if each nested resource is properly scoped; FAIL if a cross-user read/action is demonstrated; INCONCLUSIVE if feature permits shared access without clear policy.</x:v>
      </x:c>
      <x:c r="K12" s="29" t="str">
        <x:v>High where confidential attachments or user data are involved.</x:v>
      </x:c>
      <x:c r="L12" s="29" t="str">
        <x:v>Validate authorization across the full parent-child relationship and use deny-by-default data access. Retest nested APIs, exports, and downloads.</x:v>
      </x:c>
      <x:c r="M12" s="29" t="str">
        <x:v>A child resource can have a separate legitimate sharing policy. Verify intended ownership.</x:v>
      </x:c>
      <x:c r="N12" s="29" t="str">
        <x:v>Parent/child IDs, account roles, response data, and proof of ownership of the test objects.</x:v>
      </x:c>
      <x:c r="O12" s="29" t="str">
        <x:v>Not Tested</x:v>
      </x:c>
      <x:c r="P12" s="29" t="str"/>
      <x:c r="Q12" s="29" t="str"/>
      <x:c r="R12" s="29" t="str"/>
      <x:c r="S12" s="29" t="str"/>
      <x:c r="T12" s="29" t="str"/>
      <x:c r="U12" s="29" t="str"/>
      <x:c r="V12" s="29" t="str"/>
      <x:c r="W12" s="29" t="str">
        <x:v>Not Started</x:v>
      </x:c>
      <x:c r="X12" s="29" t="str"/>
    </x:row>
    <x:row r="13" ht="78" customHeight="1">
      <x:c r="A13" s="29" t="str">
        <x:v>AUTHZ-03</x:v>
      </x:c>
      <x:c r="B13" s="29" t="str">
        <x:v>Authorization &amp; Broken Access Control</x:v>
      </x:c>
      <x:c r="C13" s="29" t="str">
        <x:v>Vertical escalation and missing function-level authorization</x:v>
      </x:c>
      <x:c r="D13" s="29" t="str">
        <x:v>Determine whether a low-privileged user can call administrator or privileged functions directly.</x:v>
      </x:c>
      <x:c r="E13" s="29" t="str">
        <x:v>Low-privileged test account and admin test account; approved, non-mutating admin endpoint.</x:v>
      </x:c>
      <x:c r="F13" s="29" t="str">
        <x:v>1. Capture an admin-only read request as admin. 2. Replay exactly the same path and method as the low-privileged user. 3. Try direct URL/API access without relying on hidden menus. 4. Check alternate API versions only if documented/in scope.</x:v>
      </x:c>
      <x:c r="G13" s="29" t="str">
        <x:v>GET /admin/api/audit-summary with a low-privileged session.</x:v>
      </x:c>
      <x:c r="H13" s="29" t="str">
        <x:v>Server returns 403/404 or a policy-appropriate denial and discloses no privileged data.</x:v>
      </x:c>
      <x:c r="I13" s="29" t="str">
        <x:v>Low-privileged or anonymous request receives privileged data or can invoke the protected function.</x:v>
      </x:c>
      <x:c r="J13" s="29" t="str">
        <x:v>PASS if server-side checks deny all tested restricted paths; FAIL if a privileged function is available; INCONCLUSIVE if endpoint is obsolete or role policy is unknown.</x:v>
      </x:c>
      <x:c r="K13" s="29" t="str">
        <x:v>High to Critical depending on admin capability.</x:v>
      </x:c>
      <x:c r="L13" s="29" t="str">
        <x:v>Centralize function authorization, use deny-by-default policies, and test routes independent of UI state. Retest direct paths, HTTP methods, and API versions.</x:v>
      </x:c>
      <x:c r="M13" s="29" t="str">
        <x:v>A 200 response with a generic shell/page is not evidence that privileged data/action was available; verify content and effect.</x:v>
      </x:c>
      <x:c r="N13" s="29" t="str">
        <x:v>Admin baseline, low-role replay, response body comparison, and policy/role matrix.</x:v>
      </x:c>
      <x:c r="O13" s="29" t="str">
        <x:v>Not Tested</x:v>
      </x:c>
      <x:c r="P13" s="29" t="str"/>
      <x:c r="Q13" s="29" t="str"/>
      <x:c r="R13" s="29" t="str"/>
      <x:c r="S13" s="29" t="str"/>
      <x:c r="T13" s="29" t="str"/>
      <x:c r="U13" s="29" t="str"/>
      <x:c r="V13" s="29" t="str"/>
      <x:c r="W13" s="29" t="str">
        <x:v>Not Started</x:v>
      </x:c>
      <x:c r="X13" s="29" t="str"/>
    </x:row>
    <x:row r="14" ht="78" customHeight="1">
      <x:c r="A14" s="29" t="str">
        <x:v>AUTHZ-04</x:v>
      </x:c>
      <x:c r="B14" s="29" t="str">
        <x:v>Authorization &amp; Broken Access Control</x:v>
      </x:c>
      <x:c r="C14" s="29" t="str">
        <x:v>Mass assignment and protected-field tampering</x:v>
      </x:c>
      <x:c r="D14" s="29" t="str">
        <x:v>Check whether unexpected client fields can change trusted properties.</x:v>
      </x:c>
      <x:c r="E14" s="29" t="str">
        <x:v>Disposable test account or isolated test tenant; know permitted editable fields.</x:v>
      </x:c>
      <x:c r="F14" s="29" t="str">
        <x:v>1. Capture a normal profile/object update. 2. Add an unexpected field such as ownerId, role, isAdmin, approvalState, or price with a harmless value. 3. Submit only to a disposable object. 4. Read it back to verify persistence; do not attempt privilege-granting changes outside an explicitly approved fixture.</x:v>
      </x:c>
      <x:c r="G14" s="29" t="str">
        <x:v>PATCH /api/profile with {"displayName":"QA Test","role":"user"}.</x:v>
      </x:c>
      <x:c r="H14" s="29" t="str">
        <x:v>Protected properties are ignored/rejected and derived from trusted server state; normal editable fields still work.</x:v>
      </x:c>
      <x:c r="I14" s="29" t="str">
        <x:v>Unexpected property persists and affects ownership, authorization, approval, or price.</x:v>
      </x:c>
      <x:c r="J14" s="29" t="str">
        <x:v>PASS if protected fields cannot be changed; FAIL if a protected field’s effect is proven; INCONCLUSIVE if accepted input is not shown to persist.</x:v>
      </x:c>
      <x:c r="K14" s="29" t="str">
        <x:v>High to Critical if roles or financial/workflow data can be altered.</x:v>
      </x:c>
      <x:c r="L14" s="29" t="str">
        <x:v>Use explicit request DTO allowlists and assign privileged properties server-side. Retest create, update, bulk update, and alternate API versions.</x:v>
      </x:c>
      <x:c r="M14" s="29" t="str">
        <x:v>A field echoed in a response may not persist or affect server logic. Verify with a subsequent authorized read.</x:v>
      </x:c>
      <x:c r="N14" s="29" t="str">
        <x:v>Original/tampered request, post-update read, role context, and test object lifecycle.</x:v>
      </x:c>
      <x:c r="O14" s="29" t="str">
        <x:v>Not Tested</x:v>
      </x:c>
      <x:c r="P14" s="29" t="str"/>
      <x:c r="Q14" s="29" t="str"/>
      <x:c r="R14" s="29" t="str"/>
      <x:c r="S14" s="29" t="str"/>
      <x:c r="T14" s="29" t="str"/>
      <x:c r="U14" s="29" t="str"/>
      <x:c r="V14" s="29" t="str"/>
      <x:c r="W14" s="29" t="str">
        <x:v>Not Started</x:v>
      </x:c>
      <x:c r="X14" s="29" t="str"/>
    </x:row>
    <x:row r="15" ht="78" customHeight="1">
      <x:c r="A15" s="29" t="str">
        <x:v>AUTHZ-05</x:v>
      </x:c>
      <x:c r="B15" s="29" t="str">
        <x:v>Authorization &amp; Broken Access Control</x:v>
      </x:c>
      <x:c r="C15" s="29" t="str">
        <x:v>Multi-tenant isolation and file/export access</x:v>
      </x:c>
      <x:c r="D15" s="29" t="str">
        <x:v>Check tenant boundaries for APIs, search, exports, and object storage.</x:v>
      </x:c>
      <x:c r="E15" s="29" t="str">
        <x:v>Synthetic Tenant A and B, users in each tenant, plus synthetic files/exports.</x:v>
      </x:c>
      <x:c r="F15" s="29" t="str">
        <x:v>1. Capture tenant A list/search/download requests. 2. Substitute B’s test tenant and object IDs. 3. Check for cross-tenant metadata in list/search/autocomplete and export routes. 4. Inspect signed URL expiry/ownership without opening another real tenant’s data.</x:v>
      </x:c>
      <x:c r="G15" s="29" t="str">
        <x:v>GET /api/tenants/TENANT-B-TEST/files using Tenant A’s session.</x:v>
      </x:c>
      <x:c r="H15" s="29" t="str">
        <x:v>Tenant context is derived or validated server-side; no cross-tenant content or metadata is returned absent explicit sharing.</x:v>
      </x:c>
      <x:c r="I15" s="29" t="str">
        <x:v>Tenant A retrieves B’s files, exports, metadata, or search results.</x:v>
      </x:c>
      <x:c r="J15" s="29" t="str">
        <x:v>PASS if isolation holds across tested paths; FAIL if cross-tenant access is demonstrated; INCONCLUSIVE if sharing rules or signed URL policy are unclear.</x:v>
      </x:c>
      <x:c r="K15" s="29" t="str">
        <x:v>Critical in multi-tenant services if broad tenant data is exposed.</x:v>
      </x:c>
      <x:c r="L15" s="29" t="str">
        <x:v>Enforce tenant scoping in data-access layer and background jobs; bind signed URLs to authorized objects and short lifetimes. Retest API, search, exports, and downloads.</x:v>
      </x:c>
      <x:c r="M15" s="29" t="str">
        <x:v>A public file or intentional cross-tenant share may be expected; verify policy.</x:v>
      </x:c>
      <x:c r="N15" s="29" t="str">
        <x:v>Tenant/account matrix, synthetic object IDs, endpoint and role, returned metadata/content type, and access result.</x:v>
      </x:c>
      <x:c r="O15" s="29" t="str">
        <x:v>Not Tested</x:v>
      </x:c>
      <x:c r="P15" s="29" t="str"/>
      <x:c r="Q15" s="29" t="str"/>
      <x:c r="R15" s="29" t="str"/>
      <x:c r="S15" s="29" t="str"/>
      <x:c r="T15" s="29" t="str"/>
      <x:c r="U15" s="29" t="str"/>
      <x:c r="V15" s="29" t="str"/>
      <x:c r="W15" s="29" t="str">
        <x:v>Not Started</x:v>
      </x:c>
      <x:c r="X15" s="29" t="str"/>
    </x:row>
    <x:row r="16" ht="78" customHeight="1">
      <x:c r="A16" s="29" t="str">
        <x:v>AUTHZ-06</x:v>
      </x:c>
      <x:c r="B16" s="29" t="str">
        <x:v>Authorization &amp; Broken Access Control</x:v>
      </x:c>
      <x:c r="C16" s="29" t="str">
        <x:v>Forced browsing, API authorization, and alternate HTTP methods</x:v>
      </x:c>
      <x:c r="D16" s="29" t="str">
        <x:v>Find routes that rely on UI hiding or enforce policy inconsistently by method.</x:v>
      </x:c>
      <x:c r="E16" s="29" t="str">
        <x:v>In-scope route list from normal browsing, API docs, and optionally public JS references; low-role test account.</x:v>
      </x:c>
      <x:c r="F16" s="29" t="str">
        <x:v>1. Request known in-scope restricted routes directly. 2. Compare GET/POST/PUT/PATCH/DELETE only where methods are documented and safe. 3. Check API version or content-type variants only where supported. 4. Avoid destructive verbs against persistent production objects.</x:v>
      </x:c>
      <x:c r="G16" s="29" t="str">
        <x:v>GET /reports/export using low-privileged test session; compare with authorized session.</x:v>
      </x:c>
      <x:c r="H16" s="29" t="str">
        <x:v>Server-side policy applies consistently to direct routes and each supported method.</x:v>
      </x:c>
      <x:c r="I16" s="29" t="str">
        <x:v>A hidden route or alternate method bypasses authorization or reveals sensitive records.</x:v>
      </x:c>
      <x:c r="J16" s="29" t="str">
        <x:v>PASS if checks are consistent for tested routes; FAIL if unauthorized function/data access is confirmed; INCONCLUSIVE if route is dead, out of scope, or only a generic page is returned.</x:v>
      </x:c>
      <x:c r="K16" s="29" t="str">
        <x:v>Medium to High depending on function exposure.</x:v>
      </x:c>
      <x:c r="L16" s="29" t="str">
        <x:v>Apply centralized authorization to every controller/handler and method. Retest direct requests and supported API versions.</x:v>
      </x:c>
      <x:c r="M16" s="29" t="str">
        <x:v>Frontend route response or SPA shell with status 200 may not indicate backend access. Follow the actual API call.</x:v>
      </x:c>
      <x:c r="N16" s="29" t="str">
        <x:v>Route source, method, response pairs across roles, and proof of protected data/action.</x:v>
      </x:c>
      <x:c r="O16" s="29" t="str">
        <x:v>Not Tested</x:v>
      </x:c>
      <x:c r="P16" s="29" t="str"/>
      <x:c r="Q16" s="29" t="str"/>
      <x:c r="R16" s="29" t="str"/>
      <x:c r="S16" s="29" t="str"/>
      <x:c r="T16" s="29" t="str"/>
      <x:c r="U16" s="29" t="str"/>
      <x:c r="V16" s="29" t="str"/>
      <x:c r="W16" s="29" t="str">
        <x:v>Not Started</x:v>
      </x:c>
      <x:c r="X16" s="29" t="str"/>
    </x:row>
    <x:row r="17" ht="78" customHeight="1">
      <x:c r="A17" s="29" t="str">
        <x:v>INJ-01</x:v>
      </x:c>
      <x:c r="B17" s="29" t="str">
        <x:v>Injection</x:v>
      </x:c>
      <x:c r="C17" s="29" t="str">
        <x:v>SQL injection: syntax and boolean-based</x:v>
      </x:c>
      <x:c r="D17" s="29" t="str">
        <x:v>Identify whether an input can alter SQL query structure.</x:v>
      </x:c>
      <x:c r="E17" s="29" t="str">
        <x:v>Read-only search/filter endpoint and synthetic test data; baseline response.</x:v>
      </x:c>
      <x:c r="F17" s="29" t="str">
        <x:v>1. Identify query, body, sort, and filter parameters. 2. Test a quote marker and compare error behavior. 3. Where appropriate, use a benign true/false condition against synthetic data. 4. Repeat to eliminate caching and transient errors; do not extract data or modify records.</x:v>
      </x:c>
      <x:c r="G17" s="29" t="str">
        <x:v>GET /products?search=widget then /products?search=widget%27; use only an application-specific harmless boolean comparison if necessary.</x:v>
      </x:c>
      <x:c r="H17" s="29" t="str">
        <x:v>Input is handled as data; no database error leakage or logic change attributable to query syntax.</x:v>
      </x:c>
      <x:c r="I17" s="29" t="str">
        <x:v>Repeatable SQL parser error or a stable true/false result differential proves that input affects query structure.</x:v>
      </x:c>
      <x:c r="J17" s="29" t="str">
        <x:v>PASS if tested inputs remain data and no injection signal is reproducible; FAIL if controlled query manipulation is demonstrated; INCONCLUSIVE if errors are generic and safe confirmation is not possible.</x:v>
      </x:c>
      <x:c r="K17" s="29" t="str">
        <x:v>High to Critical depending on DB privileges and exposed data.</x:v>
      </x:c>
      <x:c r="L17" s="29" t="str">
        <x:v>Use parameterized queries; allowlist identifiers such as sort columns; apply least privilege and safe error handling. Retest all inputs and code paths.</x:v>
      </x:c>
      <x:c r="M17" s="29" t="str">
        <x:v>A 500 may be an unrelated application error; response differences may be caching or search semantics. Corroborate with paired controls.</x:v>
      </x:c>
      <x:c r="N17" s="29" t="str">
        <x:v>Baseline and modified requests, response differences, exact parameter, repeatability, and confirmation that the endpoint is read-only.</x:v>
      </x:c>
      <x:c r="O17" s="29" t="str">
        <x:v>Not Tested</x:v>
      </x:c>
      <x:c r="P17" s="29" t="str"/>
      <x:c r="Q17" s="29" t="str"/>
      <x:c r="R17" s="29" t="str"/>
      <x:c r="S17" s="29" t="str"/>
      <x:c r="T17" s="29" t="str"/>
      <x:c r="U17" s="29" t="str"/>
      <x:c r="V17" s="29" t="str"/>
      <x:c r="W17" s="29" t="str">
        <x:v>Not Started</x:v>
      </x:c>
      <x:c r="X17" s="29" t="str"/>
    </x:row>
    <x:row r="18" ht="78" customHeight="1">
      <x:c r="A18" s="29" t="str">
        <x:v>INJ-02</x:v>
      </x:c>
      <x:c r="B18" s="29" t="str">
        <x:v>Injection</x:v>
      </x:c>
      <x:c r="C18" s="29" t="str">
        <x:v>Blind SQL injection</x:v>
      </x:c>
      <x:c r="D18" s="29" t="str">
        <x:v>Look for a repeatable condition-dependent response or timing signal without retrieving records.</x:v>
      </x:c>
      <x:c r="E18" s="29" t="str">
        <x:v>Read-only endpoint, test environment preferred, approved minimal timing probes if required.</x:v>
      </x:c>
      <x:c r="F18" s="29" t="str">
        <x:v>1. Establish several baseline timings. 2. Send paired benign true/false conditions on a test field. 3. If authorized, use a minimal timing probe and repeat only a few times. 4. Compare medians rather than relying on one slow response; stop if application stability changes.</x:v>
      </x:c>
      <x:c r="G18" s="29" t="str">
        <x:v>Use an application-specific true/false predicate on a synthetic search filter; do not include database extraction statements.</x:v>
      </x:c>
      <x:c r="H18" s="29" t="str">
        <x:v>No stable condition-dependent body, status, or timing signal.</x:v>
      </x:c>
      <x:c r="I18" s="29" t="str">
        <x:v>A repeatable response/timing change follows the supplied condition rather than ordinary latency variation.</x:v>
      </x:c>
      <x:c r="J18" s="29" t="str">
        <x:v>PASS if no stable signal is reproduced; FAIL if controlled signal repeats across baselines; INCONCLUSIVE if noisy latency, caching, or WAF behavior prevents conclusion.</x:v>
      </x:c>
      <x:c r="K18" s="29" t="str">
        <x:v>High if it permits query inference or data access.</x:v>
      </x:c>
      <x:c r="L18" s="29" t="str">
        <x:v>Parameterize queries, remove dynamic SQL construction, and limit database account privileges. Retest with paired conditions and normal baselines.</x:v>
      </x:c>
      <x:c r="M18" s="29" t="str">
        <x:v>Network jitter, cache misses, load, and rate limits can create timing differences.</x:v>
      </x:c>
      <x:c r="N18" s="29" t="str">
        <x:v>All paired samples, timing notes, response lengths, endpoint, and test window.</x:v>
      </x:c>
      <x:c r="O18" s="29" t="str">
        <x:v>Not Tested</x:v>
      </x:c>
      <x:c r="P18" s="29" t="str"/>
      <x:c r="Q18" s="29" t="str"/>
      <x:c r="R18" s="29" t="str"/>
      <x:c r="S18" s="29" t="str"/>
      <x:c r="T18" s="29" t="str"/>
      <x:c r="U18" s="29" t="str"/>
      <x:c r="V18" s="29" t="str"/>
      <x:c r="W18" s="29" t="str">
        <x:v>Not Started</x:v>
      </x:c>
      <x:c r="X18" s="29" t="str"/>
    </x:row>
    <x:row r="19" ht="78" customHeight="1">
      <x:c r="A19" s="29" t="str">
        <x:v>INJ-03</x:v>
      </x:c>
      <x:c r="B19" s="29" t="str">
        <x:v>Injection</x:v>
      </x:c>
      <x:c r="C19" s="29" t="str">
        <x:v>NoSQL injection</x:v>
      </x:c>
      <x:c r="D19" s="29" t="str">
        <x:v>Check whether JSON types or query operators can alter backend query logic.</x:v>
      </x:c>
      <x:c r="E19" s="29" t="str">
        <x:v>JSON search endpoint or test login/search feature and synthetic test data/account.</x:v>
      </x:c>
      <x:c r="F19" s="29" t="str">
        <x:v>1. Record normal JSON request. 2. Replace a string value with an unexpected object/array type. 3. If relevant, submit a harmless operator-shaped value on a read-only search. 4. Verify whether result scope changes or authentication behavior changes; do not attempt access to real accounts.</x:v>
      </x:c>
      <x:c r="G19" s="29" t="str">
        <x:v>POST /api/search with {"name":"TEST-ITEM"}; compare to {"name":{"$eq":"TEST-ITEM"}}.</x:v>
      </x:c>
      <x:c r="H19" s="29" t="str">
        <x:v>Schema rejects unexpected types or treats inputs as data; query structure remains server-controlled.</x:v>
      </x:c>
      <x:c r="I19" s="29" t="str">
        <x:v>Operator or type manipulation broadens results or bypasses intended filtering/authentication.</x:v>
      </x:c>
      <x:c r="J19" s="29" t="str">
        <x:v>PASS if query shape cannot be influenced; FAIL if the client controls query logic; INCONCLUSIVE if result scope cannot be observed.</x:v>
      </x:c>
      <x:c r="K19" s="29" t="str">
        <x:v>High when filters or authentication checks are bypassed.</x:v>
      </x:c>
      <x:c r="L19" s="29" t="str">
        <x:v>Validate schema and types, construct queries from trusted code, and never merge raw client objects into query filters. Retest JSON and query-string paths.</x:v>
      </x:c>
      <x:c r="M19" s="29" t="str">
        <x:v>Some APIs intentionally accept nested search filters; confirm which operators are part of the documented interface.</x:v>
      </x:c>
      <x:c r="N19" s="29" t="str">
        <x:v>Baseline and altered JSON, returned synthetic record IDs/count, test identity, and API schema.</x:v>
      </x:c>
      <x:c r="O19" s="29" t="str">
        <x:v>Not Tested</x:v>
      </x:c>
      <x:c r="P19" s="29" t="str"/>
      <x:c r="Q19" s="29" t="str"/>
      <x:c r="R19" s="29" t="str"/>
      <x:c r="S19" s="29" t="str"/>
      <x:c r="T19" s="29" t="str"/>
      <x:c r="U19" s="29" t="str"/>
      <x:c r="V19" s="29" t="str"/>
      <x:c r="W19" s="29" t="str">
        <x:v>Not Started</x:v>
      </x:c>
      <x:c r="X19" s="29" t="str"/>
    </x:row>
    <x:row r="20" ht="78" customHeight="1">
      <x:c r="A20" s="29" t="str">
        <x:v>INJ-04</x:v>
      </x:c>
      <x:c r="B20" s="29" t="str">
        <x:v>Injection</x:v>
      </x:c>
      <x:c r="C20" s="29" t="str">
        <x:v>Reflected, stored, and context-specific XSS</x:v>
      </x:c>
      <x:c r="D20" s="29" t="str">
        <x:v>Determine whether attacker-controlled content executes in the application origin.</x:v>
      </x:c>
      <x:c r="E20" s="29" t="str">
        <x:v>Isolated test page/account and permission to submit a harmless execution proof; begin with a unique inert marker.</x:v>
      </x:c>
      <x:c r="F20" s="29" t="str">
        <x:v>1. Identify reflection/storage point. 2. Submit a unique marker and locate it in response/DOM. 3. Inspect HTML, attribute, script, and URL context. 4. Only in a safe test page, confirm whether a harmless script proof executes. 5. For stored input, review as a second test account.</x:v>
      </x:c>
      <x:c r="G20" s="29" t="str">
        <x:v>First submit XSS-CHECK-2026-01 as an inert marker; use an approved harmless execution proof only if necessary.</x:v>
      </x:c>
      <x:c r="H20" s="29" t="str">
        <x:v>Output is encoded for its context or safely sanitized; browser treats data as text and no script executes.</x:v>
      </x:c>
      <x:c r="I20" s="29" t="str">
        <x:v>Controlled input executes JavaScript in the trusted origin for the tester or another test viewer.</x:v>
      </x:c>
      <x:c r="J20" s="29" t="str">
        <x:v>PASS if content remains inert in relevant contexts; FAIL if controlled execution is reproduced; INCONCLUSIVE if CSP, browser extensions, moderation, or inaccessible rendering prevents proof.</x:v>
      </x:c>
      <x:c r="K20" s="29" t="str">
        <x:v>Medium to High based on viewer privileges and data accessible to script.</x:v>
      </x:c>
      <x:c r="L20" s="29" t="str">
        <x:v>Apply contextual output encoding, safe DOM APIs, maintained sanitization for rich text, and CSP as defense-in-depth. Retest reflected, stored, and DOM rendering locations.</x:v>
      </x:c>
      <x:c r="M20" s="29" t="str">
        <x:v>A payload visible in response source is not proof of execution; CSP blocking one vector does not necessarily mean all contexts are safe.</x:v>
      </x:c>
      <x:c r="N20" s="29" t="str">
        <x:v>Payload marker, request/response, rendered DOM/console, affected view and test viewer role; redact session data.</x:v>
      </x:c>
      <x:c r="O20" s="29" t="str">
        <x:v>Not Tested</x:v>
      </x:c>
      <x:c r="P20" s="29" t="str"/>
      <x:c r="Q20" s="29" t="str"/>
      <x:c r="R20" s="29" t="str"/>
      <x:c r="S20" s="29" t="str"/>
      <x:c r="T20" s="29" t="str"/>
      <x:c r="U20" s="29" t="str"/>
      <x:c r="V20" s="29" t="str"/>
      <x:c r="W20" s="29" t="str">
        <x:v>Not Started</x:v>
      </x:c>
      <x:c r="X20" s="29" t="str"/>
    </x:row>
    <x:row r="21" ht="78" customHeight="1">
      <x:c r="A21" s="29" t="str">
        <x:v>INJ-05</x:v>
      </x:c>
      <x:c r="B21" s="29" t="str">
        <x:v>Injection</x:v>
      </x:c>
      <x:c r="C21" s="29" t="str">
        <x:v>OS command injection and server-side template injection</x:v>
      </x:c>
      <x:c r="D21" s="29" t="str">
        <x:v>Safely determine whether input is interpreted as a shell command or server-side template expression.</x:v>
      </x:c>
      <x:c r="E21" s="29" t="str">
        <x:v>Dedicated test environment and a feature plausibly using conversion, diagnostics, templates, or file processing.</x:v>
      </x:c>
      <x:c r="F21" s="29" t="str">
        <x:v>1. Identify relevant input and establish baseline. 2. For template candidates, try a benign arithmetic expression expected to render literally if not evaluated. 3. Use a harmless marker for command-related input; only run an approved, non-destructive proof. 4. Do not run commands that read files, access network, change state, or execute on production.</x:v>
      </x:c>
      <x:c r="G21" s="29" t="str">
        <x:v>Template candidate: {{7*7}}; interpretation as 49 is a signal only when that template syntax is plausible and baseline controls support it.</x:v>
      </x:c>
      <x:c r="H21" s="29" t="str">
        <x:v>Input is treated as data or safely escaped; no shell/template execution attributable to the input.</x:v>
      </x:c>
      <x:c r="I21" s="29" t="str">
        <x:v>A repeatable harmless expression is evaluated or a controlled command proof shows server-side execution.</x:v>
      </x:c>
      <x:c r="J21" s="29" t="str">
        <x:v>PASS if candidate input remains data under the tested path; FAIL if evaluation/execution is confirmed; INCONCLUSIVE if feature/backend behavior is unknown or proof would be unsafe.</x:v>
      </x:c>
      <x:c r="K21" s="29" t="str">
        <x:v>High to Critical if server execution is possible.</x:v>
      </x:c>
      <x:c r="L21" s="29" t="str">
        <x:v>Avoid shell calls, use safe APIs and argument arrays, isolate templates, disable dangerous template features, and strictly validate inputs. Retest with harmless markers.</x:v>
      </x:c>
      <x:c r="M21" s="29" t="str">
        <x:v>A string that resembles expression output could be application logic or static text; establish a baseline and use a unique expression.</x:v>
      </x:c>
      <x:c r="N21" s="29" t="str">
        <x:v>Baseline vs marker request/response, application context, test environment, and reproducible harmless observation.</x:v>
      </x:c>
      <x:c r="O21" s="29" t="str">
        <x:v>Not Tested</x:v>
      </x:c>
      <x:c r="P21" s="29" t="str"/>
      <x:c r="Q21" s="29" t="str"/>
      <x:c r="R21" s="29" t="str"/>
      <x:c r="S21" s="29" t="str"/>
      <x:c r="T21" s="29" t="str"/>
      <x:c r="U21" s="29" t="str"/>
      <x:c r="V21" s="29" t="str"/>
      <x:c r="W21" s="29" t="str">
        <x:v>Not Started</x:v>
      </x:c>
      <x:c r="X21" s="29" t="str"/>
    </x:row>
    <x:row r="22" ht="78" customHeight="1">
      <x:c r="A22" s="29" t="str">
        <x:v>INJ-06</x:v>
      </x:c>
      <x:c r="B22" s="29" t="str">
        <x:v>Injection</x:v>
      </x:c>
      <x:c r="C22" s="29" t="str">
        <x:v>LDAP, XML/XPath, and parser injection</x:v>
      </x:c>
      <x:c r="D22" s="29" t="str">
        <x:v>Check whether directory or XML inputs can change query/parser behavior or enable unsafe external entity processing.</x:v>
      </x:c>
      <x:c r="E22" s="29" t="str">
        <x:v>Test directory search, SOAP/XML import, or XPath-backed feature and synthetic directory/document data.</x:v>
      </x:c>
      <x:c r="F22" s="29" t="str">
        <x:v>1. Submit valid baseline input. 2. Try benign quote/parenthesis markers and malformed but small XML. 3. Check for parser errors, broadened synthetic results, or unexpected entity resolution. 4. Do not probe OS files or external callbacks unless a separate approved test plan exists.</x:v>
      </x:c>
      <x:c r="G22" s="29" t="str">
        <x:v>Submit a normal XML document with one unexpected test field; for LDAP search use a harmless metacharacter marker in a test query.</x:v>
      </x:c>
      <x:c r="H22" s="29" t="str">
        <x:v>Input cannot modify query structure; XML parser disables DTD/external entities where not needed; errors reveal no sensitive internals.</x:v>
      </x:c>
      <x:c r="I22" s="29" t="str">
        <x:v>The supplied input alters query scope, returns unauthorized synthetic directory entries, or safely verified unsafe entity expansion occurs.</x:v>
      </x:c>
      <x:c r="J22" s="29" t="str">
        <x:v>PASS if query/parser controls hold; FAIL if controlled query alteration or unsafe entity behavior is demonstrated; INCONCLUSIVE if backend is not reachable through the exposed feature.</x:v>
      </x:c>
      <x:c r="K22" s="29" t="str">
        <x:v>Medium to Critical depending on directory data and server-side file/network exposure.</x:v>
      </x:c>
      <x:c r="L22" s="29" t="str">
        <x:v>Use parameterized LDAP APIs, safe XPath construction, hardened XML parsers, disabled external entities, schema validation, and generic errors. Retest each parser path.</x:v>
      </x:c>
      <x:c r="M22" s="29" t="str">
        <x:v>Parser errors alone do not prove exploitable injection; some interfaces intentionally accept filter syntax.</x:v>
      </x:c>
      <x:c r="N22" s="29" t="str">
        <x:v>Input, response, synthetic results, parser configuration evidence if available, and exact affected endpoint.</x:v>
      </x:c>
      <x:c r="O22" s="29" t="str">
        <x:v>Not Tested</x:v>
      </x:c>
      <x:c r="P22" s="29" t="str"/>
      <x:c r="Q22" s="29" t="str"/>
      <x:c r="R22" s="29" t="str"/>
      <x:c r="S22" s="29" t="str"/>
      <x:c r="T22" s="29" t="str"/>
      <x:c r="U22" s="29" t="str"/>
      <x:c r="V22" s="29" t="str"/>
      <x:c r="W22" s="29" t="str">
        <x:v>Not Started</x:v>
      </x:c>
      <x:c r="X22" s="29" t="str"/>
    </x:row>
    <x:row r="23" ht="78" customHeight="1">
      <x:c r="A23" s="29" t="str">
        <x:v>CONF-01</x:v>
      </x:c>
      <x:c r="B23" s="29" t="str">
        <x:v>Security Misconfiguration</x:v>
      </x:c>
      <x:c r="C23" s="29" t="str">
        <x:v>Security headers and clickjacking protection</x:v>
      </x:c>
      <x:c r="D23" s="29" t="str">
        <x:v>Assess relevant headers on sensitive pages and verify whether framing protections fit the application.</x:v>
      </x:c>
      <x:c r="E23" s="29" t="str">
        <x:v>HTTPS access to an in-scope page, especially a sensitive action or account view.</x:v>
      </x:c>
      <x:c r="F23" s="29" t="str">
        <x:v>1. Inspect normal and error responses for CSP, frame-ancestors or X-Frame-Options, X-Content-Type-Options, Referrer-Policy, and HSTS where appropriate. 2. Assess directive values, not just presence. 3. In a test environment, try embedding a non-sensitive page from a controlled origin.</x:v>
      </x:c>
      <x:c r="G23" s="29" t="str">
        <x:v>GET /account HTTP/1.1; inspect response headers and redirects.</x:v>
      </x:c>
      <x:c r="H23" s="29" t="str">
        <x:v>Headers reflect the threat model; sensitive pages cannot be framed by untrusted origins; HTTPS policy is consistent.</x:v>
      </x:c>
      <x:c r="I23" s="29" t="str">
        <x:v>A meaningful framing attack is possible or an important browser control is ineffective for the assessed risk.</x:v>
      </x:c>
      <x:c r="J23" s="29" t="str">
        <x:v>PASS if the tested control is effective; FAIL if exploitable framing or meaningful policy weakness is demonstrated; INCONCLUSIVE if only presence/absence is known and impact is unclear.</x:v>
      </x:c>
      <x:c r="K23" s="29" t="str">
        <x:v>Low to High depending on whether a victim can be induced to perform sensitive actions.</x:v>
      </x:c>
      <x:c r="L23" s="29" t="str">
        <x:v>Set context-appropriate CSP, frame-ancestors, X-Content-Type-Options, Referrer-Policy, and HSTS after testing compatibility. Retest sensitive and error paths.</x:v>
      </x:c>
      <x:c r="M23" s="29" t="str">
        <x:v>Not every header must appear on every resource; policy values can differ by endpoint.</x:v>
      </x:c>
      <x:c r="N23" s="29" t="str">
        <x:v>Response headers, page/role, controlled iframe test result, and browser console if relevant.</x:v>
      </x:c>
      <x:c r="O23" s="29" t="str">
        <x:v>Not Tested</x:v>
      </x:c>
      <x:c r="P23" s="29" t="str"/>
      <x:c r="Q23" s="29" t="str"/>
      <x:c r="R23" s="29" t="str"/>
      <x:c r="S23" s="29" t="str"/>
      <x:c r="T23" s="29" t="str"/>
      <x:c r="U23" s="29" t="str"/>
      <x:c r="V23" s="29" t="str"/>
      <x:c r="W23" s="29" t="str">
        <x:v>Not Started</x:v>
      </x:c>
      <x:c r="X23" s="29" t="str"/>
    </x:row>
    <x:row r="24" ht="78" customHeight="1">
      <x:c r="A24" s="29" t="str">
        <x:v>CONF-02</x:v>
      </x:c>
      <x:c r="B24" s="29" t="str">
        <x:v>Security Misconfiguration</x:v>
      </x:c>
      <x:c r="C24" s="29" t="str">
        <x:v>HTTP methods, directory listing, backup and configuration artifacts</x:v>
      </x:c>
      <x:c r="D24" s="29" t="str">
        <x:v>Identify unnecessary methods or accidentally published artifacts without retrieving sensitive material.</x:v>
      </x:c>
      <x:c r="E24" s="29" t="str">
        <x:v>Approved path list and scope; use known test filenames when possible.</x:v>
      </x:c>
      <x:c r="F24" s="29" t="str">
        <x:v>1. Check OPTIONS and safe HEAD/GET for approved endpoints. 2. Review directory responses for index listings. 3. Check only approved known paths or scanner-approved signatures for backup/config artifacts. 4. If an artifact appears sensitive, record metadata/path and stop; do not download or use secrets.</x:v>
      </x:c>
      <x:c r="G24" s="29" t="str">
        <x:v>OPTIONS /api/test-resource; GET /assets/; use a pre-agreed harmless backup-test.txt path.</x:v>
      </x:c>
      <x:c r="H24" s="29" t="str">
        <x:v>Only required methods are enabled; directories do not list files; sensitive artifacts are not served publicly.</x:v>
      </x:c>
      <x:c r="I24" s="29" t="str">
        <x:v>An unnecessary dangerous method is usable, directory listing exposes non-public files, or a sensitive configuration/backup artifact is confirmed accessible.</x:v>
      </x:c>
      <x:c r="J24" s="29" t="str">
        <x:v>PASS if tested surfaces are appropriately restricted; FAIL if sensitive exposure or unsafe method is demonstrated; INCONCLUSIVE if a gateway masks origin behavior.</x:v>
      </x:c>
      <x:c r="K24" s="29" t="str">
        <x:v>Medium to Critical based on exposed information or write capability.</x:v>
      </x:c>
      <x:c r="L24" s="29" t="str">
        <x:v>Disable unused methods, block artifact patterns at web server/CDN, remove build files from deployments, and deny directory indexes. Retest exact paths and case/encoding variants.</x:v>
      </x:c>
      <x:c r="M24" s="29" t="str">
        <x:v>OPTIONS support or a 200 directory route alone is not necessarily a vulnerability; inspect capabilities/content.</x:v>
      </x:c>
      <x:c r="N24" s="29" t="str">
        <x:v>Request/response headers, artifact path and limited metadata, and why the exposure is security relevant.</x:v>
      </x:c>
      <x:c r="O24" s="29" t="str">
        <x:v>Not Tested</x:v>
      </x:c>
      <x:c r="P24" s="29" t="str"/>
      <x:c r="Q24" s="29" t="str"/>
      <x:c r="R24" s="29" t="str"/>
      <x:c r="S24" s="29" t="str"/>
      <x:c r="T24" s="29" t="str"/>
      <x:c r="U24" s="29" t="str"/>
      <x:c r="V24" s="29" t="str"/>
      <x:c r="W24" s="29" t="str">
        <x:v>Not Started</x:v>
      </x:c>
      <x:c r="X24" s="29" t="str"/>
    </x:row>
    <x:row r="25" ht="78" customHeight="1">
      <x:c r="A25" s="29" t="str">
        <x:v>CONF-03</x:v>
      </x:c>
      <x:c r="B25" s="29" t="str">
        <x:v>Security Misconfiguration</x:v>
      </x:c>
      <x:c r="C25" s="29" t="str">
        <x:v>Verbose errors, debug details, and information disclosure</x:v>
      </x:c>
      <x:c r="D25" s="29" t="str">
        <x:v>Determine whether errors reveal actionable implementation details or secrets.</x:v>
      </x:c>
      <x:c r="E25" s="29" t="str">
        <x:v>Test endpoints accepting malformed input; synthetic values only.</x:v>
      </x:c>
      <x:c r="F25" s="29" t="str">
        <x:v>1. Submit invalid JSON, a malformed encoding, and an invalid but harmless identifier. 2. Inspect output for stack traces, internal paths, SQL fragments, framework/debug pages, secrets, and sensitive metadata. 3. Compare production-like and test error behavior if approved.</x:v>
      </x:c>
      <x:c r="G25" s="29" t="str">
        <x:v>POST /api/search with an intentionally malformed small JSON body such as {"q": ;</x:v>
      </x:c>
      <x:c r="H25" s="29" t="str">
        <x:v>Generic client error with a correlation ID; sensitive diagnostics remain in protected logs.</x:v>
      </x:c>
      <x:c r="I25" s="29" t="str">
        <x:v>Response reveals secrets, internal topology, query details, stack traces or actionable debug functionality.</x:v>
      </x:c>
      <x:c r="J25" s="29" t="str">
        <x:v>PASS if client errors are appropriately sanitized; FAIL if meaningful sensitive implementation details are disclosed; INCONCLUSIVE if only harmless generic version information is seen.</x:v>
      </x:c>
      <x:c r="K25" s="29" t="str">
        <x:v>Low to High depending on whether disclosure materially assists exploitation or reveals secrets.</x:v>
      </x:c>
      <x:c r="L25" s="29" t="str">
        <x:v>Use centralized error handling, disable public debug modes, and restrict logs/diagnostics. Retest malformed inputs on all major endpoints.</x:v>
      </x:c>
      <x:c r="M25" s="29" t="str">
        <x:v>A request ID or generic framework signature may be low risk without additional details.</x:v>
      </x:c>
      <x:c r="N25" s="29" t="str">
        <x:v>Minimal malformed request and redacted response with the exact disclosed detail and assessment of its usefulness.</x:v>
      </x:c>
      <x:c r="O25" s="29" t="str">
        <x:v>Not Tested</x:v>
      </x:c>
      <x:c r="P25" s="29" t="str"/>
      <x:c r="Q25" s="29" t="str"/>
      <x:c r="R25" s="29" t="str"/>
      <x:c r="S25" s="29" t="str"/>
      <x:c r="T25" s="29" t="str"/>
      <x:c r="U25" s="29" t="str"/>
      <x:c r="V25" s="29" t="str"/>
      <x:c r="W25" s="29" t="str">
        <x:v>Not Started</x:v>
      </x:c>
      <x:c r="X25" s="29" t="str"/>
    </x:row>
    <x:row r="26" ht="78" customHeight="1">
      <x:c r="A26" s="29" t="str">
        <x:v>CONF-04</x:v>
      </x:c>
      <x:c r="B26" s="29" t="str">
        <x:v>Security Misconfiguration</x:v>
      </x:c>
      <x:c r="C26" s="29" t="str">
        <x:v>CORS and cache-control misconfiguration</x:v>
      </x:c>
      <x:c r="D26" s="29" t="str">
        <x:v>Evaluate cross-origin access and whether authenticated sensitive responses might be cached/shared.</x:v>
      </x:c>
      <x:c r="E26" s="29" t="str">
        <x:v>Authenticated test account, controlled origin you own, and non-sensitive test data.</x:v>
      </x:c>
      <x:c r="F26" s="29" t="str">
        <x:v>1. Send an in-scope request with Origin set to a controlled test origin. 2. Inspect ACAO, ACAC, Vary, and preflight responses. 3. Verify in a browser whether a foreign origin can read the test response. 4. Inspect Cache-Control on sensitive endpoints and use browser cache tools where safe.</x:v>
      </x:c>
      <x:c r="G26" s="29" t="str">
        <x:v>GET /api/profile with Origin: https://origin-test.example.test; OPTIONS the same route if preflight applies.</x:v>
      </x:c>
      <x:c r="H26" s="29" t="str">
        <x:v>Only explicitly trusted origins are allowed; credentialed CORS is narrowly scoped; sensitive responses have suitable private/no-store policy.</x:v>
      </x:c>
      <x:c r="I26" s="29" t="str">
        <x:v>An untrusted origin can read sensitive authenticated data in a browser or a shared cache can expose a user-specific response.</x:v>
      </x:c>
      <x:c r="J26" s="29" t="str">
        <x:v>PASS if browser-enforced policy and caching are appropriate; FAIL if cross-origin reading or cache exposure is reproduced; INCONCLUSIVE if only headers are inspected without browser validation.</x:v>
      </x:c>
      <x:c r="K26" s="29" t="str">
        <x:v>High if session-authenticated sensitive data becomes readable cross-origin or shared.</x:v>
      </x:c>
      <x:c r="L26" s="29" t="str">
        <x:v>Use exact origin allowlists, avoid wildcard with credentials, set Vary correctly, and apply private/no-store policies where appropriate. Retest in a browser with test accounts.</x:v>
      </x:c>
      <x:c r="M26" s="29" t="str">
        <x:v>ACAO reflection alone may not permit credentialed reads; browser behavior and cookies matter.</x:v>
      </x:c>
      <x:c r="N26" s="29" t="str">
        <x:v>Request/response headers, controlled origin, browser console result, account context, and cache behavior.</x:v>
      </x:c>
      <x:c r="O26" s="29" t="str">
        <x:v>Not Tested</x:v>
      </x:c>
      <x:c r="P26" s="29" t="str"/>
      <x:c r="Q26" s="29" t="str"/>
      <x:c r="R26" s="29" t="str"/>
      <x:c r="S26" s="29" t="str"/>
      <x:c r="T26" s="29" t="str"/>
      <x:c r="U26" s="29" t="str"/>
      <x:c r="V26" s="29" t="str"/>
      <x:c r="W26" s="29" t="str">
        <x:v>Not Started</x:v>
      </x:c>
      <x:c r="X26" s="29" t="str"/>
    </x:row>
    <x:row r="27" ht="78" customHeight="1">
      <x:c r="A27" s="29" t="str">
        <x:v>CONF-05</x:v>
      </x:c>
      <x:c r="B27" s="29" t="str">
        <x:v>Security Misconfiguration</x:v>
      </x:c>
      <x:c r="C27" s="29" t="str">
        <x:v>TLS, HTTP downgrade, certificate, and transport settings</x:v>
      </x:c>
      <x:c r="D27" s="29" t="str">
        <x:v>Check transport protection from browser/Burp and identify additional evidence needed for protocol-level review.</x:v>
      </x:c>
      <x:c r="E27" s="29" t="str">
        <x:v>In-scope hostname and an approved TLS baseline/scanner or platform configuration access.</x:v>
      </x:c>
      <x:c r="F27" s="29" t="str">
        <x:v>1. Request the HTTP URL and inspect redirect to HTTPS without submitting credentials over HTTP. 2. Review certificate validity/hostname in browser. 3. Use approved TLS configuration tooling or owner evidence for protocol versions, ciphers, chain, HSTS and edge endpoints.</x:v>
      </x:c>
      <x:c r="G27" s="29" t="str">
        <x:v>Request http://app.example.test/ and inspect whether it redirects directly to the canonical HTTPS URL.</x:v>
      </x:c>
      <x:c r="H27" s="29" t="str">
        <x:v>Sensitive traffic uses HTTPS, certificate validates, no insecure downgrade path remains, and server TLS settings match current organizational baseline.</x:v>
      </x:c>
      <x:c r="I27" s="29" t="str">
        <x:v>Sensitive data is accepted/transmitted over HTTP or outdated/weak protocol settings are confirmed by an approved config check.</x:v>
      </x:c>
      <x:c r="J27" s="29" t="str">
        <x:v>PASS if all required evidence meets baseline; FAIL if a transport weakness is confirmed; INCONCLUSIVE if Burp-only visibility cannot establish server cipher/protocol support.</x:v>
      </x:c>
      <x:c r="K27" s="29" t="str">
        <x:v>High where credentials, sessions, or sensitive data can be intercepted.</x:v>
      </x:c>
      <x:c r="L27" s="29" t="str">
        <x:v>Enforce HTTPS at edge, configure modern TLS baseline, renew certificates, enable suitable HSTS, and remove mixed-content endpoints. Retest every exposed hostname.</x:v>
      </x:c>
      <x:c r="M27" s="29" t="str">
        <x:v>Burp’s browser proxy view does not expose all server-supported cipher suites; a browser warning may be local trust configuration.</x:v>
      </x:c>
      <x:c r="N27" s="29" t="str">
        <x:v>Redacted redirect sequence, certificate observations, TLS scan/config record, affected hosts, and date.</x:v>
      </x:c>
      <x:c r="O27" s="29" t="str">
        <x:v>Not Tested</x:v>
      </x:c>
      <x:c r="P27" s="29" t="str"/>
      <x:c r="Q27" s="29" t="str"/>
      <x:c r="R27" s="29" t="str"/>
      <x:c r="S27" s="29" t="str"/>
      <x:c r="T27" s="29" t="str"/>
      <x:c r="U27" s="29" t="str"/>
      <x:c r="V27" s="29" t="str"/>
      <x:c r="W27" s="29" t="str">
        <x:v>Not Started</x:v>
      </x:c>
      <x:c r="X27" s="29" t="str"/>
    </x:row>
    <x:row r="28" ht="78" customHeight="1">
      <x:c r="A28" s="29" t="str">
        <x:v>CONF-06</x:v>
      </x:c>
      <x:c r="B28" s="29" t="str">
        <x:v>Security Misconfiguration</x:v>
      </x:c>
      <x:c r="C28" s="29" t="str">
        <x:v>Default credentials, exposed admin/debug endpoints, unnecessary services</x:v>
      </x:c>
      <x:c r="D28" s="29" t="str">
        <x:v>Check known management surfaces and default configuration without guessing passwords or probing out-of-scope services.</x:v>
      </x:c>
      <x:c r="E28" s="29" t="str">
        <x:v>Documented admin/debug paths, test credentials from owner, and approved infrastructure boundary.</x:v>
      </x:c>
      <x:c r="F28" s="29" t="str">
        <x:v>1. Request known admin/debug paths with anonymous and low-privileged test sessions. 2. Confirm whether sensitive diagnostics or management functions are exposed. 3. Test default credentials only if owner has explicitly provided a documented test account/approval; do not perform password guessing. 4. Request service inventory/config evidence for unnecessary network services.</x:v>
      </x:c>
      <x:c r="G28" s="29" t="str">
        <x:v>GET /admin/health or /debug/config only if documented in scope; use low-privileged test session.</x:v>
      </x:c>
      <x:c r="H28" s="29" t="str">
        <x:v>Management plane and diagnostics require strong authentication/network restrictions; no default credentials; unneeded services are disabled.</x:v>
      </x:c>
      <x:c r="I28" s="29" t="str">
        <x:v>Sensitive management/debug data is publicly accessible or explicitly verified default credentials work.</x:v>
      </x:c>
      <x:c r="J28" s="29" t="str">
        <x:v>PASS if approved checks show appropriate restrictions; FAIL if exposure or default access is confirmed; INCONCLUSIVE for network services without infrastructure scan/config evidence.</x:v>
      </x:c>
      <x:c r="K28" s="29" t="str">
        <x:v>High to Critical depending on admin functionality and disclosed secrets.</x:v>
      </x:c>
      <x:c r="L28" s="29" t="str">
        <x:v>Remove debug features, restrict management access, rotate defaults, use strong unique credentials/MFA, and disable unnecessary services. Retest endpoint and infrastructure evidence.</x:v>
      </x:c>
      <x:c r="M28" s="29" t="str">
        <x:v>A health endpoint may intentionally expose minimal public status; confirm whether it reveals sensitive data or controls.</x:v>
      </x:c>
      <x:c r="N28" s="29" t="str">
        <x:v>Path, response detail, role, approved credential source if relevant, and owner-provided service/config evidence.</x:v>
      </x:c>
      <x:c r="O28" s="29" t="str">
        <x:v>Not Tested</x:v>
      </x:c>
      <x:c r="P28" s="29" t="str"/>
      <x:c r="Q28" s="29" t="str"/>
      <x:c r="R28" s="29" t="str"/>
      <x:c r="S28" s="29" t="str"/>
      <x:c r="T28" s="29" t="str"/>
      <x:c r="U28" s="29" t="str"/>
      <x:c r="V28" s="29" t="str"/>
      <x:c r="W28" s="29" t="str">
        <x:v>Not Started</x:v>
      </x:c>
      <x:c r="X28" s="29" t="str"/>
    </x:row>
    <x:row r="29" ht="78" customHeight="1">
      <x:c r="A29" s="29" t="str">
        <x:v>CLIENT-01</x:v>
      </x:c>
      <x:c r="B29" s="29" t="str">
        <x:v>Client-Side</x:v>
      </x:c>
      <x:c r="C29" s="29" t="str">
        <x:v>DOM-based XSS and unsafe DOM sinks</x:v>
      </x:c>
      <x:c r="D29" s="29" t="str">
        <x:v>Determine whether URL or message-controlled data reaches executable DOM sinks.</x:v>
      </x:c>
      <x:c r="E29" s="29" t="str">
        <x:v>Test browser, accessible JS sources, and a non-sensitive page where client-side rendering occurs.</x:v>
      </x:c>
      <x:c r="F29" s="29" t="str">
        <x:v>1. Start with a unique inert marker in query/hash. 2. Inspect DevTools Sources and DOM for flows from location/search/hash or other sources to innerHTML/document.write or unsafe rendering. 3. Use an approved harmless execution proof only in an isolated test page.</x:v>
      </x:c>
      <x:c r="G29" s="29" t="str">
        <x:v>Open /search#DOM-CHECK-2026-01 and search for the marker in the live DOM.</x:v>
      </x:c>
      <x:c r="H29" s="29" t="str">
        <x:v>Untrusted data is rendered with safe APIs such as textContent or properly contextualized templating; no script executes.</x:v>
      </x:c>
      <x:c r="I29" s="29" t="str">
        <x:v>Attacker-controlled data reaches an executable sink and runs in the application origin.</x:v>
      </x:c>
      <x:c r="J29" s="29" t="str">
        <x:v>PASS if no unsafe source-to-sink execution is found for tested flows; FAIL if controlled execution is reproduced; INCONCLUSIVE if the code path is inaccessible.</x:v>
      </x:c>
      <x:c r="K29" s="29" t="str">
        <x:v>Medium to High depending on session, user privilege and available origin APIs.</x:v>
      </x:c>
      <x:c r="L29" s="29" t="str">
        <x:v>Use safe DOM APIs, contextual encoding, sanitization for rich text, strict CSP, and safe framework patterns. Retest each source-to-sink path.</x:v>
      </x:c>
      <x:c r="M29" s="29" t="str">
        <x:v>A marker appearing in DOM is not XSS unless it changes interpretation/execution.</x:v>
      </x:c>
      <x:c r="N29" s="29" t="str">
        <x:v>URL/input, DOM location, relevant JS file/line if available, browser console, and Burp request.</x:v>
      </x:c>
      <x:c r="O29" s="29" t="str">
        <x:v>Not Tested</x:v>
      </x:c>
      <x:c r="P29" s="29" t="str"/>
      <x:c r="Q29" s="29" t="str"/>
      <x:c r="R29" s="29" t="str"/>
      <x:c r="S29" s="29" t="str"/>
      <x:c r="T29" s="29" t="str"/>
      <x:c r="U29" s="29" t="str"/>
      <x:c r="V29" s="29" t="str"/>
      <x:c r="W29" s="29" t="str">
        <x:v>Not Started</x:v>
      </x:c>
      <x:c r="X29" s="29" t="str"/>
    </x:row>
    <x:row r="30" ht="78" customHeight="1">
      <x:c r="A30" s="29" t="str">
        <x:v>CLIENT-02</x:v>
      </x:c>
      <x:c r="B30" s="29" t="str">
        <x:v>Client-Side</x:v>
      </x:c>
      <x:c r="C30" s="29" t="str">
        <x:v>Reflected/stored XSS and unsafe client rendering</x:v>
      </x:c>
      <x:c r="D30" s="29" t="str">
        <x:v>Check whether user input executes when reflected immediately or stored and later viewed.</x:v>
      </x:c>
      <x:c r="E30" s="29" t="str">
        <x:v>Test comment/profile/ticket field and at least two test accounts for stored content where possible.</x:v>
      </x:c>
      <x:c r="F30" s="29" t="str">
        <x:v>1. Submit inert unique marker. 2. Locate it in response and rendered DOM. 3. Inspect whether output is contextually encoded. 4. Confirm a harmless execution proof only in a dedicated test view. 5. Revisit as a second test user for stored content.</x:v>
      </x:c>
      <x:c r="G30" s="29" t="str">
        <x:v>Submit the inert string XSS-RENDER-CHECK-2026 to a test comment; do not start with destructive markup.</x:v>
      </x:c>
      <x:c r="H30" s="29" t="str">
        <x:v>Input remains text or is sanitized for the intended rich-text features.</x:v>
      </x:c>
      <x:c r="I30" s="29" t="str">
        <x:v>Controlled HTML/script executes in the same origin for the submitter or another viewer.</x:v>
      </x:c>
      <x:c r="J30" s="29" t="str">
        <x:v>PASS if all tested contexts remain inert; FAIL if execution is reproduced; INCONCLUSIVE if moderation, sanitization, or view permissions prevent complete verification.</x:v>
      </x:c>
      <x:c r="K30" s="29" t="str">
        <x:v>Medium–High; stored XSS affecting administrators can be particularly severe.</x:v>
      </x:c>
      <x:c r="L30" s="29" t="str">
        <x:v>Context-aware output encoding, maintained allowlist sanitization for HTML, safe templating, and CSP. Retest submitter and viewer contexts.</x:v>
      </x:c>
      <x:c r="M30" s="29" t="str">
        <x:v>Reflection in raw response is not the same as browser execution; HTML preview may intentionally support sanitized markup.</x:v>
      </x:c>
      <x:c r="N30" s="29" t="str">
        <x:v>Submission request, stored record ID, rendered response/DOM, tester/viewer role, and repeat steps.</x:v>
      </x:c>
      <x:c r="O30" s="29" t="str">
        <x:v>Not Tested</x:v>
      </x:c>
      <x:c r="P30" s="29" t="str"/>
      <x:c r="Q30" s="29" t="str"/>
      <x:c r="R30" s="29" t="str"/>
      <x:c r="S30" s="29" t="str"/>
      <x:c r="T30" s="29" t="str"/>
      <x:c r="U30" s="29" t="str"/>
      <x:c r="V30" s="29" t="str"/>
      <x:c r="W30" s="29" t="str">
        <x:v>Not Started</x:v>
      </x:c>
      <x:c r="X30" s="29" t="str"/>
    </x:row>
    <x:row r="31" ht="78" customHeight="1">
      <x:c r="A31" s="29" t="str">
        <x:v>CLIENT-03</x:v>
      </x:c>
      <x:c r="B31" s="29" t="str">
        <x:v>Client-Side</x:v>
      </x:c>
      <x:c r="C31" s="29" t="str">
        <x:v>Client-side authorization, price, and parameter tampering</x:v>
      </x:c>
      <x:c r="D31" s="29" t="str">
        <x:v>Verify that removing UI controls or editing client-supplied values cannot bypass server rules.</x:v>
      </x:c>
      <x:c r="E31" s="29" t="str">
        <x:v>Test product/cart preview, profile, or workflow fixture; no real order/payment finalization.</x:v>
      </x:c>
      <x:c r="F31" s="29" t="str">
        <x:v>1. Capture normal request. 2. Modify UI-only fields or request parameters such as discount, price, role, owner, or approval state. 3. Send with Repeater. 4. Inspect server-derived preview or read-only persisted state. 5. Do not commit financial or irreversible actions.</x:v>
      </x:c>
      <x:c r="G31" s="29" t="str">
        <x:v>POST /api/cart/preview with a test SKU and an altered client-supplied price; inspect server-calculated totals.</x:v>
      </x:c>
      <x:c r="H31" s="29" t="str">
        <x:v>Server recalculates trusted values and independently checks permissions and workflow rules.</x:v>
      </x:c>
      <x:c r="I31" s="29" t="str">
        <x:v>Client-controlled value changes authoritative price, privilege, ownership, or state.</x:v>
      </x:c>
      <x:c r="J31" s="29" t="str">
        <x:v>PASS if tampering is rejected or recalculated server-side; FAIL if a security-relevant invariant is violated; INCONCLUSIVE if only a local UI change is observable.</x:v>
      </x:c>
      <x:c r="K31" s="29" t="str">
        <x:v>High if it affects payment, approval, or privileged operations.</x:v>
      </x:c>
      <x:c r="L31" s="29" t="str">
        <x:v>Recompute price/discount/permissions on the server and enforce state transitions in domain logic. Retest UI and direct API calls.</x:v>
      </x:c>
      <x:c r="M31" s="29" t="str">
        <x:v>Changing a display-only label without server impact is not a business logic vulnerability.</x:v>
      </x:c>
      <x:c r="N31" s="29" t="str">
        <x:v>Baseline/tampered request, server-side preview/state, test fixture IDs, and no irreversible action performed.</x:v>
      </x:c>
      <x:c r="O31" s="29" t="str">
        <x:v>Not Tested</x:v>
      </x:c>
      <x:c r="P31" s="29" t="str"/>
      <x:c r="Q31" s="29" t="str"/>
      <x:c r="R31" s="29" t="str"/>
      <x:c r="S31" s="29" t="str"/>
      <x:c r="T31" s="29" t="str"/>
      <x:c r="U31" s="29" t="str"/>
      <x:c r="V31" s="29" t="str"/>
      <x:c r="W31" s="29" t="str">
        <x:v>Not Started</x:v>
      </x:c>
      <x:c r="X31" s="29" t="str"/>
    </x:row>
    <x:row r="32" ht="78" customHeight="1">
      <x:c r="A32" s="29" t="str">
        <x:v>CLIENT-04</x:v>
      </x:c>
      <x:c r="B32" s="29" t="str">
        <x:v>Client-Side</x:v>
      </x:c>
      <x:c r="C32" s="29" t="str">
        <x:v>Sensitive localStorage/sessionStorage and client token handling</x:v>
      </x:c>
      <x:c r="D32" s="29" t="str">
        <x:v>Assess whether sensitive data or long-lived bearer tokens are unnecessarily exposed to client-side scripts.</x:v>
      </x:c>
      <x:c r="E32" s="29" t="str">
        <x:v>Dedicated test login and browser DevTools Application/Storage view.</x:v>
      </x:c>
      <x:c r="F32" s="29" t="str">
        <x:v>1. Log in with test account. 2. Inspect localStorage, sessionStorage, IndexedDB, cookies, and application cache. 3. Note data categories and token lifetimes without copying tokens into the report. 4. Test logout and token revocation behavior.</x:v>
      </x:c>
      <x:c r="G32" s="29" t="str">
        <x:v>Inspect DevTools Application → Storage after authentication; record key names and types only.</x:v>
      </x:c>
      <x:c r="H32" s="29" t="str">
        <x:v>Sensitive data is minimized; architecture chooses storage based on threat model; tokens are short-lived/revocable and cookies use suitable attributes.</x:v>
      </x:c>
      <x:c r="I32" s="29" t="str">
        <x:v>Sensitive secrets or long-lived high-value tokens are exposed to scripts without justification and create a concrete compromise path.</x:v>
      </x:c>
      <x:c r="J32" s="29" t="str">
        <x:v>PASS if storage risk is appropriately controlled; FAIL if sensitive exposure and realistic impact are confirmed; INCONCLUSIVE without design/lifecycle evidence.</x:v>
      </x:c>
      <x:c r="K32" s="29" t="str">
        <x:v>Medium–High, especially when combined with XSS.</x:v>
      </x:c>
      <x:c r="L32" s="29" t="str">
        <x:v>Minimize secrets in browser storage, consider HttpOnly cookies where architecturally suitable, shorten token lifetimes, rotate/revoke tokens, and strengthen XSS defenses.</x:v>
      </x:c>
      <x:c r="M32" s="29" t="str">
        <x:v>Presence in storage is not automatically a defect; assess sensitivity, lifetime, CSP/XSS risk, and app architecture.</x:v>
      </x:c>
      <x:c r="N32" s="29" t="str">
        <x:v>Storage type/key names with values redacted, token lifecycle behavior, and logout result.</x:v>
      </x:c>
      <x:c r="O32" s="29" t="str">
        <x:v>Not Tested</x:v>
      </x:c>
      <x:c r="P32" s="29" t="str"/>
      <x:c r="Q32" s="29" t="str"/>
      <x:c r="R32" s="29" t="str"/>
      <x:c r="S32" s="29" t="str"/>
      <x:c r="T32" s="29" t="str"/>
      <x:c r="U32" s="29" t="str"/>
      <x:c r="V32" s="29" t="str"/>
      <x:c r="W32" s="29" t="str">
        <x:v>Not Started</x:v>
      </x:c>
      <x:c r="X32" s="29" t="str"/>
    </x:row>
    <x:row r="33" ht="78" customHeight="1">
      <x:c r="A33" s="29" t="str">
        <x:v>CLIENT-05</x:v>
      </x:c>
      <x:c r="B33" s="29" t="str">
        <x:v>Client-Side</x:v>
      </x:c>
      <x:c r="C33" s="29" t="str">
        <x:v>Open redirects, unsafe postMessage, JavaScript/source-map disclosure</x:v>
      </x:c>
      <x:c r="D33" s="29" t="str">
        <x:v>Check redirect destination validation, cross-window message origin/schema validation, and accidental secrets in shipped client assets.</x:v>
      </x:c>
      <x:c r="E33" s="29" t="str">
        <x:v>Controlled benign external domain, browser access, and in-scope JS assets.</x:v>
      </x:c>
      <x:c r="F33" s="29" t="str">
        <x:v>1. Inspect redirect parameters with a controlled test destination. 2. Determine whether external destinations are allowlisted or restricted to relative URLs. 3. Inspect postMessage listeners for exact origin and message schema validation; test only with a controlled origin. 4. Review public bundles/source maps for candidate secrets; do not use any discovered credential.</x:v>
      </x:c>
      <x:c r="G33" s="29" t="str">
        <x:v>GET /login?returnUrl=https%3A%2F%2Forigin-test.example.test/ ; use only a domain you control.</x:v>
      </x:c>
      <x:c r="H33" s="29" t="str">
        <x:v>Redirects are constrained; postMessage checks sender origin and message format; client bundles contain no usable secrets/private keys.</x:v>
      </x:c>
      <x:c r="I33" s="29" t="str">
        <x:v>An untrusted redirect can be reliably abused, a cross-origin message triggers a sensitive action, or a usable secret is exposed.</x:v>
      </x:c>
      <x:c r="J33" s="29" t="str">
        <x:v>PASS if validated and no usable secret/abuse path found; FAIL if a meaningful behavior is demonstrated; INCONCLUSIVE if code strings are not proven active credentials or path is inaccessible.</x:v>
      </x:c>
      <x:c r="K33" s="29" t="str">
        <x:v>Low–High based on phishing, cross-window action, or secret privilege.</x:v>
      </x:c>
      <x:c r="L33" s="29" t="str">
        <x:v>Allowlist redirect targets, validate postMessage origin/schema, use least-privileged public configuration, and remove secrets from bundles. Retest browser flows.</x:v>
      </x:c>
      <x:c r="M33" s="29" t="str">
        <x:v>A public API base URL or publishable client ID is not necessarily a secret; confirm privilege and usability.</x:v>
      </x:c>
      <x:c r="N33" s="29" t="str">
        <x:v>Request/redirect chain, controlled origin, relevant JS location, and redacted secret fingerprint if applicable.</x:v>
      </x:c>
      <x:c r="O33" s="29" t="str">
        <x:v>Not Tested</x:v>
      </x:c>
      <x:c r="P33" s="29" t="str"/>
      <x:c r="Q33" s="29" t="str"/>
      <x:c r="R33" s="29" t="str"/>
      <x:c r="S33" s="29" t="str"/>
      <x:c r="T33" s="29" t="str"/>
      <x:c r="U33" s="29" t="str"/>
      <x:c r="V33" s="29" t="str"/>
      <x:c r="W33" s="29" t="str">
        <x:v>Not Started</x:v>
      </x:c>
      <x:c r="X33" s="29" t="str"/>
    </x:row>
    <x:row r="34" ht="78" customHeight="1">
      <x:c r="A34" s="29" t="str">
        <x:v>CLIENT-06</x:v>
      </x:c>
      <x:c r="B34" s="29" t="str">
        <x:v>Client-Side</x:v>
      </x:c>
      <x:c r="C34" s="29" t="str">
        <x:v>Clickjacking and browser-enforced CORS behavior</x:v>
      </x:c>
      <x:c r="D34" s="29" t="str">
        <x:v>Validate real browser effects rather than relying only on header presence.</x:v>
      </x:c>
      <x:c r="E34" s="29" t="str">
        <x:v>Non-sensitive test page/action, controlled origin, test browser, and a test account.</x:v>
      </x:c>
      <x:c r="F34" s="29" t="str">
        <x:v>1. Review frame policy headers. 2. In test environment, embed the harmless test page from the controlled origin. 3. For CORS, issue a request from a browser context and observe console plus readable response behavior. 4. Do not induce real users or execute real financial/state-changing actions.</x:v>
      </x:c>
      <x:c r="G34" s="29" t="str">
        <x:v>Controlled test page attempting to iframe a non-sensitive test view; Burp captures the associated requests.</x:v>
      </x:c>
      <x:c r="H34" s="29" t="str">
        <x:v>Untrusted framing is blocked where required; browser prevents unauthorized cross-origin reads; CSRF protections remain effective.</x:v>
      </x:c>
      <x:c r="I34" s="29" t="str">
        <x:v>A realistic sensitive UI action can be induced through framing or authenticated cross-origin response data is readable.</x:v>
      </x:c>
      <x:c r="J34" s="29" t="str">
        <x:v>PASS if browser protections enforce intended boundary; FAIL if a meaningful browser attack is reproduced; INCONCLUSIVE if only response headers are reviewed.</x:v>
      </x:c>
      <x:c r="K34" s="29" t="str">
        <x:v>Medium–High depending on action and data sensitivity.</x:v>
      </x:c>
      <x:c r="L34" s="29" t="str">
        <x:v>Use CSP frame-ancestors, strict CORS allowlists, SameSite cookies and CSRF controls as appropriate. Retest in supported browsers.</x:v>
      </x:c>
      <x:c r="M34" s="29" t="str">
        <x:v>A CORS error for a simple request or ACAO header alone does not establish exploitability.</x:v>
      </x:c>
      <x:c r="N34" s="29" t="str">
        <x:v>Headers, browser console, controlled origin, test account role, and visible effect.</x:v>
      </x:c>
      <x:c r="O34" s="29" t="str">
        <x:v>Not Tested</x:v>
      </x:c>
      <x:c r="P34" s="29" t="str"/>
      <x:c r="Q34" s="29" t="str"/>
      <x:c r="R34" s="29" t="str"/>
      <x:c r="S34" s="29" t="str"/>
      <x:c r="T34" s="29" t="str"/>
      <x:c r="U34" s="29" t="str"/>
      <x:c r="V34" s="29" t="str"/>
      <x:c r="W34" s="29" t="str">
        <x:v>Not Started</x:v>
      </x:c>
      <x:c r="X34" s="29" t="str"/>
    </x:row>
    <x:row r="35" ht="78" customHeight="1">
      <x:c r="A35" s="29" t="str">
        <x:v>CRYPTO-01</x:v>
      </x:c>
      <x:c r="B35" s="29" t="str">
        <x:v>Cryptographic Failures</x:v>
      </x:c>
      <x:c r="C35" s="29" t="str">
        <x:v>Sensitive data over HTTP and sensitive values in URLs</x:v>
      </x:c>
      <x:c r="D35" s="29" t="str">
        <x:v>Check that sensitive data is not sent in cleartext or exposed in query/path/referrer/log-prone locations.</x:v>
      </x:c>
      <x:c r="E35" s="29" t="str">
        <x:v>Test credentials and synthetic personal data; HTTPS endpoint and controlled destination for referrer behavior.</x:v>
      </x:c>
      <x:c r="F35" s="29" t="str">
        <x:v>1. Observe login and sensitive workflows in HTTP history. 2. Request the HTTP version without submitting credentials and inspect redirect. 3. Check URLs for tokens, passwords, reset links, personal data, and secrets. 4. Review Referer behavior when navigating from an approved test page.</x:v>
      </x:c>
      <x:c r="G35" s="29" t="str">
        <x:v>Inspect GET /reset?token=TEST-TOKEN or any actual in-scope URL patterns; use a fake token, never publish a real one.</x:v>
      </x:c>
      <x:c r="H35" s="29" t="str">
        <x:v>Sensitive traffic remains on HTTPS; tokens and secrets are not unnecessarily placed in URLs or forwarded through Referer/logs.</x:v>
      </x:c>
      <x:c r="I35" s="29" t="str">
        <x:v>Credentials/tokens are sent over HTTP or high-value secrets appear in URLs accessible to logs/history/referrers.</x:v>
      </x:c>
      <x:c r="J35" s="29" t="str">
        <x:v>PASS if tested flows protect sensitive values; FAIL if leakage is observed; INCONCLUSIVE if edge-to-origin traffic is not visible.</x:v>
      </x:c>
      <x:c r="K35" s="29" t="str">
        <x:v>High if it exposes credentials, session, or recovery tokens.</x:v>
      </x:c>
      <x:c r="L35" s="29" t="str">
        <x:v>Enforce HTTPS/HSTS, keep secrets out of URLs, redact logs, use secure cookies and carefully controlled referrer policy. Retest all authentication and recovery paths.</x:v>
      </x:c>
      <x:c r="M35" s="29" t="str">
        <x:v>A non-sensitive search query in a URL may be acceptable; assess sensitivity and referer/log exposure.</x:v>
      </x:c>
      <x:c r="N35" s="29" t="str">
        <x:v>Redacted request path, redirect chain, parameter name but not secret value, cookie attributes, and transport details.</x:v>
      </x:c>
      <x:c r="O35" s="29" t="str">
        <x:v>Not Tested</x:v>
      </x:c>
      <x:c r="P35" s="29" t="str"/>
      <x:c r="Q35" s="29" t="str"/>
      <x:c r="R35" s="29" t="str"/>
      <x:c r="S35" s="29" t="str"/>
      <x:c r="T35" s="29" t="str"/>
      <x:c r="U35" s="29" t="str"/>
      <x:c r="V35" s="29" t="str"/>
      <x:c r="W35" s="29" t="str">
        <x:v>Not Started</x:v>
      </x:c>
      <x:c r="X35" s="29" t="str"/>
    </x:row>
    <x:row r="36" ht="78" customHeight="1">
      <x:c r="A36" s="29" t="str">
        <x:v>CRYPTO-02</x:v>
      </x:c>
      <x:c r="B36" s="29" t="str">
        <x:v>Cryptographic Failures</x:v>
      </x:c>
      <x:c r="C36" s="29" t="str">
        <x:v>TLS protocol, certificate, and cipher configuration</x:v>
      </x:c>
      <x:c r="D36" s="29" t="str">
        <x:v>Assess transport configuration using browser/Burp observations plus appropriate TLS evidence.</x:v>
      </x:c>
      <x:c r="E36" s="29" t="str">
        <x:v>In-scope hosts and approved TLS scanner/configuration output.</x:v>
      </x:c>
      <x:c r="F36" s="29" t="str">
        <x:v>1. Check certificate hostname, chain, and expiry in browser. 2. Verify HTTP redirect and HSTS behavior. 3. Use approved TLS testing/configuration review to establish supported protocol and cipher suites. 4. Check all public subdomains/edges in scope.</x:v>
      </x:c>
      <x:c r="G36" s="29" t="str">
        <x:v>Visit HTTPS endpoint and inspect certificate; use approved TLS report for supported protocols/ciphers.</x:v>
      </x:c>
      <x:c r="H36" s="29" t="str">
        <x:v>Valid chain/hostname, current organization baseline for protocols/ciphers, reliable HTTPS enforcement, and no known insecure downgrade.</x:v>
      </x:c>
      <x:c r="I36" s="29" t="str">
        <x:v>A certificate/hostname defect or weak protocol/cipher suite is confirmed against the required baseline.</x:v>
      </x:c>
      <x:c r="J36" s="29" t="str">
        <x:v>PASS if all required transport evidence meets baseline; FAIL if a weakness is confirmed; INCONCLUSIVE if only Burp traffic is available without server cipher evidence.</x:v>
      </x:c>
      <x:c r="K36" s="29" t="str">
        <x:v>Medium–High based on data sensitivity and practical interception risk.</x:v>
      </x:c>
      <x:c r="L36" s="29" t="str">
        <x:v>Use current TLS baseline, renew certificates, enforce HTTPS/HSTS, and remove obsolete protocols/ciphers. Retest all hosts and edge endpoints.</x:v>
      </x:c>
      <x:c r="M36" s="29" t="str">
        <x:v>Local proxy certificate trust warnings may be caused by test setup; distinguish them from the site certificate.</x:v>
      </x:c>
      <x:c r="N36" s="29" t="str">
        <x:v>Host, certificate details, TLS scanner/config report, timestamp, and remediation baseline.</x:v>
      </x:c>
      <x:c r="O36" s="29" t="str">
        <x:v>Not Tested</x:v>
      </x:c>
      <x:c r="P36" s="29" t="str"/>
      <x:c r="Q36" s="29" t="str"/>
      <x:c r="R36" s="29" t="str"/>
      <x:c r="S36" s="29" t="str"/>
      <x:c r="T36" s="29" t="str"/>
      <x:c r="U36" s="29" t="str"/>
      <x:c r="V36" s="29" t="str"/>
      <x:c r="W36" s="29" t="str">
        <x:v>Not Started</x:v>
      </x:c>
      <x:c r="X36" s="29" t="str"/>
    </x:row>
    <x:row r="37" ht="78" customHeight="1">
      <x:c r="A37" s="29" t="str">
        <x:v>CRYPTO-03</x:v>
      </x:c>
      <x:c r="B37" s="29" t="str">
        <x:v>Cryptographic Failures</x:v>
      </x:c>
      <x:c r="C37" s="29" t="str">
        <x:v>Password storage and password transmission indicators</x:v>
      </x:c>
      <x:c r="D37" s="29" t="str">
        <x:v>Separate what HTTP traffic can prove from what requires credential-storage evidence.</x:v>
      </x:c>
      <x:c r="E37" s="29" t="str">
        <x:v>Test account and access to authentication configuration/code review or a system-owner attestation; do not request real hashes.</x:v>
      </x:c>
      <x:c r="F37" s="29" t="str">
        <x:v>1. Use Burp to confirm password submission is HTTPS and is not echoed in responses. 2. Ask for evidence of password hashing algorithm/parameters and salt handling via code/config review. 3. If testing a dedicated lab, review metadata only; do not export production hashes.</x:v>
      </x:c>
      <x:c r="G37" s="29" t="str">
        <x:v>POST /login using test credentials over HTTPS; separately review approved password-hashing implementation evidence.</x:v>
      </x:c>
      <x:c r="H37" s="29" t="str">
        <x:v>Password is transported over TLS and stored using a modern adaptive password hash with unique salts and approved parameters.</x:v>
      </x:c>
      <x:c r="I37" s="29" t="str">
        <x:v>Plaintext/reversible password storage or obsolete fast unsalted hashing is confirmed by implementation evidence.</x:v>
      </x:c>
      <x:c r="J37" s="29" t="str">
        <x:v>PASS only when adequate transport and storage evidence support the control; FAIL when unsafe storage is confirmed; INCONCLUSIVE from Burp traffic alone regarding stored hash algorithm.</x:v>
      </x:c>
      <x:c r="K37" s="29" t="str">
        <x:v>Critical if password database exposure yields plaintext/easily cracked credentials.</x:v>
      </x:c>
      <x:c r="L37" s="29" t="str">
        <x:v>Use an approved adaptive password hash (e.g., Argon2id, scrypt, bcrypt, or appropriately configured PBKDF2), unique salts, protected credential stores, and safe migration. Retest code/config.</x:v>
      </x:c>
      <x:c r="M37" s="29" t="str">
        <x:v>Seeing a masked password in the UI or a TLS request does not prove secure password storage; seeing a hash-shaped string also does not prove proper parameters.</x:v>
      </x:c>
      <x:c r="N37" s="29" t="str">
        <x:v>Redacted HTTPS request and separate code/config evidence with algorithm and parameters; no password hashes in the report.</x:v>
      </x:c>
      <x:c r="O37" s="29" t="str">
        <x:v>Not Tested</x:v>
      </x:c>
      <x:c r="P37" s="29" t="str"/>
      <x:c r="Q37" s="29" t="str"/>
      <x:c r="R37" s="29" t="str"/>
      <x:c r="S37" s="29" t="str"/>
      <x:c r="T37" s="29" t="str"/>
      <x:c r="U37" s="29" t="str"/>
      <x:c r="V37" s="29" t="str"/>
      <x:c r="W37" s="29" t="str">
        <x:v>Not Started</x:v>
      </x:c>
      <x:c r="X37" s="29" t="str"/>
    </x:row>
    <x:row r="38" ht="78" customHeight="1">
      <x:c r="A38" s="29" t="str">
        <x:v>CRYPTO-04</x:v>
      </x:c>
      <x:c r="B38" s="29" t="str">
        <x:v>Cryptographic Failures</x:v>
      </x:c>
      <x:c r="C38" s="29" t="str">
        <x:v>Random tokens and token signing/verification</x:v>
      </x:c>
      <x:c r="D38" s="29" t="str">
        <x:v>Check token lifecycle and verifier behavior without brute forcing secrets or forging access to real accounts.</x:v>
      </x:c>
      <x:c r="E38" s="29" t="str">
        <x:v>Dedicated test account; test-issued reset/session/JWT tokens; approved identity configuration or source review when available.</x:v>
      </x:c>
      <x:c r="F38" s="29" t="str">
        <x:v>1. Collect a small set of tokens issued to the test account; check uniqueness, expiry, single-use and rotation. 2. For JWTs, inspect claims without treating decoding as decryption. 3. On a test endpoint, verify altered-signature, expired, wrong-audience, and wrong-issuer tokens are rejected where applicable. 4. Never brute-force signing keys.</x:v>
      </x:c>
      <x:c r="G38" s="29" t="str">
        <x:v>Replay an expired test token or a token with one harmless claim modified and an invalid signature against a read-only test endpoint.</x:v>
      </x:c>
      <x:c r="H38" s="29" t="str">
        <x:v>Tokens are generated by CSPRNG, appropriately bound and expiring; verifier validates signature, issuer, audience, algorithm and relevant claims.</x:v>
      </x:c>
      <x:c r="I38" s="29" t="str">
        <x:v>Repeated/predictable test token behavior or acceptance of a controlled invalid/expired token is demonstrated.</x:v>
      </x:c>
      <x:c r="J38" s="29" t="str">
        <x:v>PASS if observed behavior and implementation evidence meet requirements; FAIL if invalid tokens are accepted or predictability is proven; INCONCLUSIVE if token generator/verifier internals are unavailable and traffic is insufficient.</x:v>
      </x:c>
      <x:c r="K38" s="29" t="str">
        <x:v>High to Critical depending on bearer-token privilege.</x:v>
      </x:c>
      <x:c r="L38" s="29" t="str">
        <x:v>Use secure platform randomness, vetted token libraries, strict verification, short lifetimes, rotation, and revocation strategy. Retest invalid, expired, wrong-audience, and altered-signature cases.</x:v>
      </x:c>
      <x:c r="M38" s="29" t="str">
        <x:v>Base64 decoding and a token’s visual appearance do not prove encryption or entropy quality.</x:v>
      </x:c>
      <x:c r="N38" s="29" t="str">
        <x:v>Redacted claims/headers, validation outcomes, token lifecycle timestamps, and implementation/config evidence.</x:v>
      </x:c>
      <x:c r="O38" s="29" t="str">
        <x:v>Not Tested</x:v>
      </x:c>
      <x:c r="P38" s="29" t="str"/>
      <x:c r="Q38" s="29" t="str"/>
      <x:c r="R38" s="29" t="str"/>
      <x:c r="S38" s="29" t="str"/>
      <x:c r="T38" s="29" t="str"/>
      <x:c r="U38" s="29" t="str"/>
      <x:c r="V38" s="29" t="str"/>
      <x:c r="W38" s="29" t="str">
        <x:v>Not Started</x:v>
      </x:c>
      <x:c r="X38" s="29" t="str"/>
    </x:row>
    <x:row r="39" ht="78" customHeight="1">
      <x:c r="A39" s="29" t="str">
        <x:v>CRYPTO-05</x:v>
      </x:c>
      <x:c r="B39" s="29" t="str">
        <x:v>Cryptographic Failures</x:v>
      </x:c>
      <x:c r="C39" s="29" t="str">
        <x:v>Key management, secrets exposure, and encryption at rest</x:v>
      </x:c>
      <x:c r="D39" s="29" t="str">
        <x:v>Identify active secrets accidentally delivered to the client and request evidence for key custody and at-rest protection.</x:v>
      </x:c>
      <x:c r="E39" s="29" t="str">
        <x:v>Approved in-scope public assets, code/config review contact, and cloud/KMS/storage evidence pathway.</x:v>
      </x:c>
      <x:c r="F39" s="29" t="str">
        <x:v>1. Review public JS/source maps and known diagnostic/config endpoints in scope for secret-like material. 2. Do not use or attempt login with any found secret. 3. Report redacted fingerprint/location to the owner for rotation. 4. For encryption at rest, verify storage/KMS configuration, key access, rotation, and backup coverage using approved read-only evidence.</x:v>
      </x:c>
      <x:c r="G39" s="29" t="str">
        <x:v>Inspect an approved client bundle for accidental private-key/API-secret material; report only file/path and redacted fingerprint.</x:v>
      </x:c>
      <x:c r="H39" s="29" t="str">
        <x:v>No usable secret is shipped to clients; keys are stored and access-controlled in approved key-management infrastructure; sensitive data at rest is protected per policy.</x:v>
      </x:c>
      <x:c r="I39" s="29" t="str">
        <x:v>An active privileged secret is confirmed in client-accessible assets, or approved configuration evidence proves sensitive storage lacks required protection.</x:v>
      </x:c>
      <x:c r="J39" s="29" t="str">
        <x:v>PASS if reviewed assets show no usable secret and storage/key evidence meets policy; FAIL if exposure/weak configuration is confirmed; INCONCLUSIVE if at-rest claims lack infrastructure/config access.</x:v>
      </x:c>
      <x:c r="K39" s="29" t="str">
        <x:v>High to Critical depending on secret privilege and data.</x:v>
      </x:c>
      <x:c r="L39" s="29" t="str">
        <x:v>Rotate any exposed keys immediately, remove secrets from builds/history, use KMS/secret manager with least privilege, and configure encryption/rotation/audit. Retest after revocation and redeployment.</x:v>
      </x:c>
      <x:c r="M39" s="29" t="str">
        <x:v>Public client IDs and publishable keys may be intentionally public; verify privileges and documented purpose.</x:v>
      </x:c>
      <x:c r="N39" s="29" t="str">
        <x:v>Artifact path, redacted fingerprint (never the secret), owner confirmation of rotation, and KMS/storage configuration evidence.</x:v>
      </x:c>
      <x:c r="O39" s="29" t="str">
        <x:v>Not Tested</x:v>
      </x:c>
      <x:c r="P39" s="29" t="str"/>
      <x:c r="Q39" s="29" t="str"/>
      <x:c r="R39" s="29" t="str"/>
      <x:c r="S39" s="29" t="str"/>
      <x:c r="T39" s="29" t="str"/>
      <x:c r="U39" s="29" t="str"/>
      <x:c r="V39" s="29" t="str"/>
      <x:c r="W39" s="29" t="str">
        <x:v>Not Started</x:v>
      </x:c>
      <x:c r="X39" s="29" t="str"/>
    </x:row>
    <x:row r="40" ht="78" customHeight="1">
      <x:c r="A40" s="29" t="str">
        <x:v>CRYPTO-06</x:v>
      </x:c>
      <x:c r="B40" s="29" t="str">
        <x:v>Cryptographic Failures</x:v>
      </x:c>
      <x:c r="C40" s="29" t="str">
        <x:v>Cookie attributes, cache leakage, and data-at-rest claims</x:v>
      </x:c>
      <x:c r="D40" s="29" t="str">
        <x:v>Inspect session cookie protection and HTTP cache behavior, while recognizing that storage encryption cannot be proven from traffic alone.</x:v>
      </x:c>
      <x:c r="E40" s="29" t="str">
        <x:v>Authenticated test session and sensitive-but-synthetic test page.</x:v>
      </x:c>
      <x:c r="F40" s="29" t="str">
        <x:v>1. Inspect Set-Cookie for Secure, HttpOnly, SameSite, Domain, Path and expiry. 2. Review Cache-Control/Pragma on authenticated pages and logout behavior. 3. Use browser cache tools safely to verify local/shared cache risk when applicable. 4. Request server/storage evidence for encryption at rest.</x:v>
      </x:c>
      <x:c r="G40" s="29" t="str">
        <x:v>Capture login Set-Cookie and GET /api/account/summary response headers; redact all cookie values.</x:v>
      </x:c>
      <x:c r="H40" s="29" t="str">
        <x:v>Cookie settings match session threat model; sensitive responses are not incorrectly shared-cached; storage-at-rest controls have corroborating platform evidence.</x:v>
      </x:c>
      <x:c r="I40" s="29" t="str">
        <x:v>Session cookie is exposed over HTTP, inappropriate scope materially increases risk, or user-specific sensitive content is confirmed shared-cached.</x:v>
      </x:c>
      <x:c r="J40" s="29" t="str">
        <x:v>PASS if observed settings/behavior and required storage evidence are appropriate; FAIL if a concrete session/cache exposure is demonstrated; INCONCLUSIVE for encryption-at-rest claims without config evidence.</x:v>
      </x:c>
      <x:c r="K40" s="29" t="str">
        <x:v>Medium–High depending on session and sensitive-data exposure.</x:v>
      </x:c>
      <x:c r="L40" s="29" t="str">
        <x:v>Use appropriate cookie flags/scope, server-side invalidation, private/no-store for sensitive responses, and approved encryption-at-rest policies. Retest browser and edge cache behavior.</x:v>
      </x:c>
      <x:c r="M40" s="29" t="str">
        <x:v>Not every cookie needs identical SameSite settings; evaluate the role of the cookie and cross-site flows.</x:v>
      </x:c>
      <x:c r="N40" s="29" t="str">
        <x:v>Redacted Set-Cookie attributes, Cache-Control/Vary headers, browser cache test and storage/config review evidence.</x:v>
      </x:c>
      <x:c r="O40" s="29" t="str">
        <x:v>Not Tested</x:v>
      </x:c>
      <x:c r="P40" s="29" t="str"/>
      <x:c r="Q40" s="29" t="str"/>
      <x:c r="R40" s="29" t="str"/>
      <x:c r="S40" s="29" t="str"/>
      <x:c r="T40" s="29" t="str"/>
      <x:c r="U40" s="29" t="str"/>
      <x:c r="V40" s="29" t="str"/>
      <x:c r="W40" s="29" t="str">
        <x:v>Not Started</x:v>
      </x:c>
      <x:c r="X40" s="29" t="str"/>
    </x:row>
    <x:row r="41" ht="78" customHeight="1">
      <x:c r="A41" s="29" t="str">
        <x:v>INPUT-01</x:v>
      </x:c>
      <x:c r="B41" s="29" t="str">
        <x:v>Input Validation</x:v>
      </x:c>
      <x:c r="C41" s="29" t="str">
        <x:v>Missing server-side validation / client-side-only validation</x:v>
      </x:c>
      <x:c r="D41" s="29" t="str">
        <x:v>Check whether constraints are enforced when requests bypass browser controls.</x:v>
      </x:c>
      <x:c r="E41" s="29" t="str">
        <x:v>A documented test field and synthetic profile/form record.</x:v>
      </x:c>
      <x:c r="F41" s="29" t="str">
        <x:v>1. Observe client-side validation in the UI. 2. Capture the valid request. 3. Remove/alter client-side constraints by editing the request in Repeater. 4. Submit one invalid value and verify persisted state with a subsequent read.</x:v>
      </x:c>
      <x:c r="G41" s="29" t="str">
        <x:v>POST /api/profile with {"age":-5} where the documented domain requires a non-negative age.</x:v>
      </x:c>
      <x:c r="H41" s="29" t="str">
        <x:v>Server rejects invalid input with a controlled 4xx response and does not persist invalid state.</x:v>
      </x:c>
      <x:c r="I41" s="29" t="str">
        <x:v>Invalid state persists or affects security-sensitive downstream behavior because only client validation exists.</x:v>
      </x:c>
      <x:c r="J41" s="29" t="str">
        <x:v>PASS if server-side rules hold; FAIL if a meaningful invalid state persists or causes a security impact; INCONCLUSIVE if no expected constraint or persisted state can be established.</x:v>
      </x:c>
      <x:c r="K41" s="29" t="str">
        <x:v>Medium–High depending on downstream authorization, calculation, or data integrity effects.</x:v>
      </x:c>
      <x:c r="L41" s="29" t="str">
        <x:v>Validate at API/service/domain layer and encode constraints in schemas and persistence rules. Retest UI and direct API calls.</x:v>
      </x:c>
      <x:c r="M41" s="29" t="str">
        <x:v>A permissive field may be intentional; check requirements and downstream behavior before raising a finding.</x:v>
      </x:c>
      <x:c r="N41" s="29" t="str">
        <x:v>Documented constraint, baseline/tampered request, response, and subsequent read of synthetic record.</x:v>
      </x:c>
      <x:c r="O41" s="29" t="str">
        <x:v>Not Tested</x:v>
      </x:c>
      <x:c r="P41" s="29" t="str"/>
      <x:c r="Q41" s="29" t="str"/>
      <x:c r="R41" s="29" t="str"/>
      <x:c r="S41" s="29" t="str"/>
      <x:c r="T41" s="29" t="str"/>
      <x:c r="U41" s="29" t="str"/>
      <x:c r="V41" s="29" t="str"/>
      <x:c r="W41" s="29" t="str">
        <x:v>Not Started</x:v>
      </x:c>
      <x:c r="X41" s="29" t="str"/>
    </x:row>
    <x:row r="42" ht="78" customHeight="1">
      <x:c r="A42" s="29" t="str">
        <x:v>INPUT-02</x:v>
      </x:c>
      <x:c r="B42" s="29" t="str">
        <x:v>Input Validation</x:v>
      </x:c>
      <x:c r="C42" s="29" t="str">
        <x:v>Data type, boundary, length, Unicode and encoding inconsistencies</x:v>
      </x:c>
      <x:c r="D42" s="29" t="str">
        <x:v>Find type confusion, off-by-one errors, normalization bypasses and unsafe handling without resource exhaustion.</x:v>
      </x:c>
      <x:c r="E42" s="29" t="str">
        <x:v>Test endpoint and known schema or field constraints; use small values only.</x:v>
      </x:c>
      <x:c r="F42" s="29" t="str">
        <x:v>1. Test empty/null, one below minimum, minimum, maximum, one above maximum. 2. Try string vs number, boolean, array/object where a scalar is expected. 3. Use a short Unicode and URL-encoded equivalent. 4. Test modest overlength input only within approved limits.</x:v>
      </x:c>
      <x:c r="G42" s="29" t="str">
        <x:v>For a test numeric field compare "0", 0, -1, maximum, maximum+1 and null according to its schema.</x:v>
      </x:c>
      <x:c r="H42" s="29" t="str">
        <x:v>Server consistently validates schema/range/length and normalizes input before validation and authorization.</x:v>
      </x:c>
      <x:c r="I42" s="29" t="str">
        <x:v>Alternate type/encoding bypasses restrictions, corrupts data, causes unsafe parsing, or changes authorization/business outcome.</x:v>
      </x:c>
      <x:c r="J42" s="29" t="str">
        <x:v>PASS if constraints are consistent; FAIL if a security-relevant bypass is reproducible; INCONCLUSIVE if the allowed domain/range is unspecified.</x:v>
      </x:c>
      <x:c r="K42" s="29" t="str">
        <x:v>Low–High; depends on whether data integrity, workflow, authorization or availability is affected.</x:v>
      </x:c>
      <x:c r="L42" s="29" t="str">
        <x:v>Use schema validators, canonicalization, explicit lengths/ranges, safe integer parsing, and consistent validation at trust boundaries. Retest variants.</x:v>
      </x:c>
      <x:c r="M42" s="29" t="str">
        <x:v>Unicode differences may be expected in internationalized fields; error status alone does not establish impact.</x:v>
      </x:c>
      <x:c r="N42" s="29" t="str">
        <x:v>Test value matrix, schema/business requirement, requests/responses, and post-submit state.</x:v>
      </x:c>
      <x:c r="O42" s="29" t="str">
        <x:v>Not Tested</x:v>
      </x:c>
      <x:c r="P42" s="29" t="str"/>
      <x:c r="Q42" s="29" t="str"/>
      <x:c r="R42" s="29" t="str"/>
      <x:c r="S42" s="29" t="str"/>
      <x:c r="T42" s="29" t="str"/>
      <x:c r="U42" s="29" t="str"/>
      <x:c r="V42" s="29" t="str"/>
      <x:c r="W42" s="29" t="str">
        <x:v>Not Started</x:v>
      </x:c>
      <x:c r="X42" s="29" t="str"/>
    </x:row>
    <x:row r="43" ht="78" customHeight="1">
      <x:c r="A43" s="29" t="str">
        <x:v>INPUT-03</x:v>
      </x:c>
      <x:c r="B43" s="29" t="str">
        <x:v>Input Validation</x:v>
      </x:c>
      <x:c r="C43" s="29" t="str">
        <x:v>HTTP parameter pollution and duplicate parameter ambiguity</x:v>
      </x:c>
      <x:c r="D43" s="29" t="str">
        <x:v>Determine whether duplicate or conflicting parameter values are interpreted inconsistently across layers.</x:v>
      </x:c>
      <x:c r="E43" s="29" t="str">
        <x:v>Read-only endpoint that accepts a simple parameter and known expected behavior.</x:v>
      </x:c>
      <x:c r="F43" s="29" t="str">
        <x:v>1. Capture baseline with one parameter. 2. Send duplicate values in both orders. 3. Where supported, compare query, form, and JSON representations. 4. Observe whether authorization, filter selection, or business result changes unexpectedly.</x:v>
      </x:c>
      <x:c r="G43" s="29" t="str">
        <x:v>GET /api/items?sort=name&amp;sort=created with a read-only synthetic dataset.</x:v>
      </x:c>
      <x:c r="H43" s="29" t="str">
        <x:v>Ambiguous duplicates are rejected or processed consistently according to documented rules across gateway and application layers.</x:v>
      </x:c>
      <x:c r="I43" s="29" t="str">
        <x:v>Different layers choose different values and this inconsistency bypasses a security rule or changes protected data selection.</x:v>
      </x:c>
      <x:c r="J43" s="29" t="str">
        <x:v>PASS if duplicate handling is deterministic and safe; FAIL if a meaningful security/business invariant is bypassed; INCONCLUSIVE if downstream interpretation cannot be observed.</x:v>
      </x:c>
      <x:c r="K43" s="29" t="str">
        <x:v>Medium–High when security checks and query handlers parse differently.</x:v>
      </x:c>
      <x:c r="L43" s="29" t="str">
        <x:v>Reject ambiguous duplicates or define one canonical parsing policy at every layer; do not use conflicting values for authorization. Retest query/body/header variants.</x:v>
      </x:c>
      <x:c r="M43" s="29" t="str">
        <x:v>A normal multi-value filter may be intended; show security impact rather than duplicate handling alone.</x:v>
      </x:c>
      <x:c r="N43" s="29" t="str">
        <x:v>Single-value baseline, duplicate requests in both orders, returned synthetic object IDs, and affected layer if known.</x:v>
      </x:c>
      <x:c r="O43" s="29" t="str">
        <x:v>Not Tested</x:v>
      </x:c>
      <x:c r="P43" s="29" t="str"/>
      <x:c r="Q43" s="29" t="str"/>
      <x:c r="R43" s="29" t="str"/>
      <x:c r="S43" s="29" t="str"/>
      <x:c r="T43" s="29" t="str"/>
      <x:c r="U43" s="29" t="str"/>
      <x:c r="V43" s="29" t="str"/>
      <x:c r="W43" s="29" t="str">
        <x:v>Not Started</x:v>
      </x:c>
      <x:c r="X43" s="29" t="str"/>
    </x:row>
    <x:row r="44" ht="78" customHeight="1">
      <x:c r="A44" s="29" t="str">
        <x:v>INPUT-04</x:v>
      </x:c>
      <x:c r="B44" s="29" t="str">
        <x:v>Input Validation</x:v>
      </x:c>
      <x:c r="C44" s="29" t="str">
        <x:v>File upload validation, extension, MIME and size</x:v>
      </x:c>
      <x:c r="D44" s="29" t="str">
        <x:v>Check whether upload controls use layered validation and safely store/serve files.</x:v>
      </x:c>
      <x:c r="E44" s="29" t="str">
        <x:v>Dedicated test upload area, harmless text files, and a size limit from documentation; no executable payloads.</x:v>
      </x:c>
      <x:c r="F44" s="29" t="str">
        <x:v>1. Upload a small allowed text file. 2. Compare filename extension, declared Content-Type, and content signature using inert files. 3. Test a disallowed extension only with inert content. 4. Check randomized storage name, download content type/disposition, authorization and size enforcement. Do not upload malware or executable code.</x:v>
      </x:c>
      <x:c r="G44" s="29" t="str">
        <x:v>POST /upload with filename=test.txt, Content-Type: text/plain and a harmless synthetic body. Then vary only the declared Content-Type.</x:v>
      </x:c>
      <x:c r="H44" s="29" t="str">
        <x:v>Server validates allowlisted format and content, size limits, stores outside executable web root or isolated storage, and authorizes downloads.</x:v>
      </x:c>
      <x:c r="I44" s="29" t="str">
        <x:v>Inert test proves client-only validation, path/control bypass, unintended public access, or unsafe executable serving.</x:v>
      </x:c>
      <x:c r="J44" s="29" t="str">
        <x:v>PASS if layered validation and storage/access controls are demonstrated; FAIL if a concrete unsafe acceptance/access path exists; INCONCLUSIVE if execution/storage behavior cannot be verified safely.</x:v>
      </x:c>
      <x:c r="K44" s="29" t="str">
        <x:v>High to Critical depending on execution, storage, and access control.</x:v>
      </x:c>
      <x:c r="L44" s="29" t="str">
        <x:v>Allowlist formats, verify content, randomize filenames, limit sizes, isolate storage, disable execution, authorize download and scan files if appropriate. Retest harmless fixtures only.</x:v>
      </x:c>
      <x:c r="M44" s="29" t="str">
        <x:v>MIME type is client-controlled; acceptance alone does not prove danger unless storage/serving behavior is unsafe.</x:v>
      </x:c>
      <x:c r="N44" s="29" t="str">
        <x:v>Redacted multipart request, test filename/content-type/size, response, resulting download headers and storage/access behavior.</x:v>
      </x:c>
      <x:c r="O44" s="29" t="str">
        <x:v>Not Tested</x:v>
      </x:c>
      <x:c r="P44" s="29" t="str"/>
      <x:c r="Q44" s="29" t="str"/>
      <x:c r="R44" s="29" t="str"/>
      <x:c r="S44" s="29" t="str"/>
      <x:c r="T44" s="29" t="str"/>
      <x:c r="U44" s="29" t="str"/>
      <x:c r="V44" s="29" t="str"/>
      <x:c r="W44" s="29" t="str">
        <x:v>Not Started</x:v>
      </x:c>
      <x:c r="X44" s="29" t="str"/>
    </x:row>
    <x:row r="45" ht="78" customHeight="1">
      <x:c r="A45" s="29" t="str">
        <x:v>INPUT-05</x:v>
      </x:c>
      <x:c r="B45" s="29" t="str">
        <x:v>Input Validation</x:v>
      </x:c>
      <x:c r="C45" s="29" t="str">
        <x:v>Path traversal, null-byte and canonicalization handling</x:v>
      </x:c>
      <x:c r="D45" s="29" t="str">
        <x:v>Verify file access remains confined to an authorized base directory.</x:v>
      </x:c>
      <x:c r="E45" s="29" t="str">
        <x:v>Documented file-download feature and known synthetic fixture located in an approved test directory.</x:v>
      </x:c>
      <x:c r="F45" s="29" t="str">
        <x:v>1. Request the valid synthetic file by its normal identifier. 2. Try a harmless traversal variant that targets only another pre-created fixture inside the approved environment. 3. Compare encoded separators and normalization behavior. 4. Do not attempt to read OS files, secrets, or out-of-scope paths.</x:v>
      </x:c>
      <x:c r="G45" s="29" t="str">
        <x:v>GET /download?file=reports%2FTEST-REPORT.txt; use traversal variants only to reach an approved synthetic fixture.</x:v>
      </x:c>
      <x:c r="H45" s="29" t="str">
        <x:v>Server maps opaque IDs to files or canonicalizes and checks paths against an allowlisted base before access.</x:v>
      </x:c>
      <x:c r="I45" s="29" t="str">
        <x:v>A user can escape intended directory boundaries or bypass authorization to access a protected test fixture.</x:v>
      </x:c>
      <x:c r="J45" s="29" t="str">
        <x:v>PASS if all variants remain confined; FAIL if protected/out-of-scope fixture access is demonstrated; INCONCLUSIVE if endpoint is not filesystem-backed or safe fixture is unavailable.</x:v>
      </x:c>
      <x:c r="K45" s="29" t="str">
        <x:v>High where sensitive files can be read or overwritten.</x:v>
      </x:c>
      <x:c r="L45" s="29" t="str">
        <x:v>Prefer opaque file IDs, canonicalize paths before authorization, enforce allowlists and storage isolation, and account for platform-specific separators/encoding. Retest controlled variants.</x:v>
      </x:c>
      <x:c r="M45" s="29" t="str">
        <x:v>A 200 response may return a fallback page or the same file; verify content identity with synthetic fixtures.</x:v>
      </x:c>
      <x:c r="N45" s="29" t="str">
        <x:v>Baseline and modified request, fixture hashes/identifiers, user role, response content identity, and scope boundary.</x:v>
      </x:c>
      <x:c r="O45" s="29" t="str">
        <x:v>Not Tested</x:v>
      </x:c>
      <x:c r="P45" s="29" t="str"/>
      <x:c r="Q45" s="29" t="str"/>
      <x:c r="R45" s="29" t="str"/>
      <x:c r="S45" s="29" t="str"/>
      <x:c r="T45" s="29" t="str"/>
      <x:c r="U45" s="29" t="str"/>
      <x:c r="V45" s="29" t="str"/>
      <x:c r="W45" s="29" t="str">
        <x:v>Not Started</x:v>
      </x:c>
      <x:c r="X45" s="29" t="str"/>
    </x:row>
    <x:row r="46" ht="78" customHeight="1">
      <x:c r="A46" s="29" t="str">
        <x:v>INPUT-06</x:v>
      </x:c>
      <x:c r="B46" s="29" t="str">
        <x:v>Input Validation</x:v>
      </x:c>
      <x:c r="C46" s="29" t="str">
        <x:v>Numeric manipulation and business-rule validation</x:v>
      </x:c>
      <x:c r="D46" s="29" t="str">
        <x:v>Verify prices, quantities, discounts, currency, limits, roles, and workflow transitions are not trusted from the client.</x:v>
      </x:c>
      <x:c r="E46" s="29" t="str">
        <x:v>Test product/account, draft cart or preview route, and a reversible synthetic workflow. No real charge or irreversible approval.</x:v>
      </x:c>
      <x:c r="F46" s="29" t="str">
        <x:v>1. Capture baseline preview. 2. Modify one client-side numeric/business field. 3. Check server-calculated totals and allowed range. 4. Attempt to skip one workflow step only in a disposable record. 5. Avoid submitting a real order/payment.</x:v>
      </x:c>
      <x:c r="G46" s="29" t="str">
        <x:v>POST /api/cart/preview with a test SKU and altered client price/discount field.</x:v>
      </x:c>
      <x:c r="H46" s="29" t="str">
        <x:v>Server derives trusted price/discount/role/approval from authoritative state and rejects invalid quantity/range or workflow transition.</x:v>
      </x:c>
      <x:c r="I46" s="29" t="str">
        <x:v>Client-supplied value changes authoritative totals or state, or a protected transition can be skipped.</x:v>
      </x:c>
      <x:c r="J46" s="29" t="str">
        <x:v>PASS if server recalculates/enforces invariants; FAIL if a security-relevant business rule is violated; INCONCLUSIVE if only client rendering is visible.</x:v>
      </x:c>
      <x:c r="K46" s="29" t="str">
        <x:v>High to Critical if it enables financial loss, fraud, approval bypass, or privilege escalation.</x:v>
      </x:c>
      <x:c r="L46" s="29" t="str">
        <x:v>Enforce business invariants and calculations server-side, use transactional state machines, and log sensitive transitions. Retest only with draft/test records.</x:v>
      </x:c>
      <x:c r="M46" s="29" t="str">
        <x:v>A preview may display an estimate and recompute at checkout; verify the authoritative server result without finalizing a real transaction.</x:v>
      </x:c>
      <x:c r="N46" s="29" t="str">
        <x:v>Baseline/tampered request, server-side preview/result, test fixture, and proof no production transaction was committed.</x:v>
      </x:c>
      <x:c r="O46" s="29" t="str">
        <x:v>Not Tested</x:v>
      </x:c>
      <x:c r="P46" s="29" t="str"/>
      <x:c r="Q46" s="29" t="str"/>
      <x:c r="R46" s="29" t="str"/>
      <x:c r="S46" s="29" t="str"/>
      <x:c r="T46" s="29" t="str"/>
      <x:c r="U46" s="29" t="str"/>
      <x:c r="V46" s="29" t="str"/>
      <x:c r="W46" s="29" t="str">
        <x:v>Not Started</x:v>
      </x:c>
      <x:c r="X46" s="29" t="str"/>
    </x:row>
    <x:row r="47" ht="78" customHeight="1">
      <x:c r="A47" s="29" t="str">
        <x:v>SUP-01</x:v>
      </x:c>
      <x:c r="B47" s="29" t="str">
        <x:v>Cross-category Supplemental Checks</x:v>
      </x:c>
      <x:c r="C47" s="29" t="str">
        <x:v>CSRF on sensitive state changes</x:v>
      </x:c>
      <x:c r="D47" s="29" t="str">
        <x:v>Check cookie-authenticated state-changing requests for appropriate anti-CSRF tokens, origin validation, SameSite policy, and re-authentication on sensitive actions. Use a harmless test account and non-destructive action.</x:v>
      </x:c>
      <x:c r="E47" s="29" t="str"/>
      <x:c r="F47" s="29" t="str">
        <x:v>Review the stated control with the relevant application owner and validate using a synthetic test account where applicable.</x:v>
      </x:c>
      <x:c r="G47" s="29" t="str"/>
      <x:c r="H47" s="29" t="str"/>
      <x:c r="I47" s="29" t="str"/>
      <x:c r="J47" s="29" t="str">
        <x:v>Record: PASS / FAIL / INCONCLUSIVE, exact endpoint, synthetic account, request/response, observed state, and any evidence owner confirmation required.</x:v>
      </x:c>
      <x:c r="K47" s="29" t="str"/>
      <x:c r="L47" s="29" t="str"/>
      <x:c r="M47" s="29" t="str"/>
      <x:c r="N47" s="29" t="str">
        <x:v>Record the endpoint or control, test identity, redacted request/response if applicable, observed behavior, and any owner/configuration evidence.</x:v>
      </x:c>
      <x:c r="O47" s="29" t="str">
        <x:v>Not Tested</x:v>
      </x:c>
      <x:c r="P47" s="29" t="str"/>
      <x:c r="Q47" s="29" t="str"/>
      <x:c r="R47" s="29" t="str"/>
      <x:c r="S47" s="29" t="str"/>
      <x:c r="T47" s="29" t="str"/>
      <x:c r="U47" s="29" t="str"/>
      <x:c r="V47" s="29" t="str"/>
      <x:c r="W47" s="29" t="str">
        <x:v>Not Started</x:v>
      </x:c>
      <x:c r="X47" s="29" t="str"/>
    </x:row>
    <x:row r="48" ht="78" customHeight="1">
      <x:c r="A48" s="29" t="str">
        <x:v>SUP-02</x:v>
      </x:c>
      <x:c r="B48" s="29" t="str">
        <x:v>Cross-category Supplemental Checks</x:v>
      </x:c>
      <x:c r="C48" s="29" t="str">
        <x:v>Content-type confusion and API schema</x:v>
      </x:c>
      <x:c r="D48" s="29" t="str">
        <x:v>Compare documented JSON/form/XML input paths and ensure unsupported media types or malformed schemas do not create inconsistent authorization or validation outcomes.</x:v>
      </x:c>
      <x:c r="E48" s="29" t="str"/>
      <x:c r="F48" s="29" t="str">
        <x:v>Review the stated control with the relevant application owner and validate using a synthetic test account where applicable.</x:v>
      </x:c>
      <x:c r="G48" s="29" t="str"/>
      <x:c r="H48" s="29" t="str"/>
      <x:c r="I48" s="29" t="str"/>
      <x:c r="J48" s="29" t="str">
        <x:v>Record: PASS / FAIL / INCONCLUSIVE, exact endpoint, synthetic account, request/response, observed state, and any evidence owner confirmation required.</x:v>
      </x:c>
      <x:c r="K48" s="29" t="str"/>
      <x:c r="L48" s="29" t="str"/>
      <x:c r="M48" s="29" t="str"/>
      <x:c r="N48" s="29" t="str">
        <x:v>Record the endpoint or control, test identity, redacted request/response if applicable, observed behavior, and any owner/configuration evidence.</x:v>
      </x:c>
      <x:c r="O48" s="29" t="str">
        <x:v>Not Tested</x:v>
      </x:c>
      <x:c r="P48" s="29" t="str"/>
      <x:c r="Q48" s="29" t="str"/>
      <x:c r="R48" s="29" t="str"/>
      <x:c r="S48" s="29" t="str"/>
      <x:c r="T48" s="29" t="str"/>
      <x:c r="U48" s="29" t="str"/>
      <x:c r="V48" s="29" t="str"/>
      <x:c r="W48" s="29" t="str">
        <x:v>Not Started</x:v>
      </x:c>
      <x:c r="X48" s="29" t="str"/>
    </x:row>
    <x:row r="49" ht="78" customHeight="1">
      <x:c r="A49" s="29" t="str">
        <x:v>SUP-03</x:v>
      </x:c>
      <x:c r="B49" s="29" t="str">
        <x:v>Cross-category Supplemental Checks</x:v>
      </x:c>
      <x:c r="C49" s="29" t="str">
        <x:v>Logging and monitoring evidence</x:v>
      </x:c>
      <x:c r="D49" s="29" t="str">
        <x:v>Ask owners to verify alerts for repeated login failures, MFA changes, privilege changes, export anomalies and suspicious account recovery. Do not generate high-volume activity in production.</x:v>
      </x:c>
      <x:c r="E49" s="29" t="str"/>
      <x:c r="F49" s="29" t="str">
        <x:v>Review the stated control with the relevant application owner and validate using a synthetic test account where applicable.</x:v>
      </x:c>
      <x:c r="G49" s="29" t="str"/>
      <x:c r="H49" s="29" t="str"/>
      <x:c r="I49" s="29" t="str"/>
      <x:c r="J49" s="29" t="str">
        <x:v>Record: PASS / FAIL / INCONCLUSIVE, exact endpoint, synthetic account, request/response, observed state, and any evidence owner confirmation required.</x:v>
      </x:c>
      <x:c r="K49" s="29" t="str"/>
      <x:c r="L49" s="29" t="str"/>
      <x:c r="M49" s="29" t="str"/>
      <x:c r="N49" s="29" t="str">
        <x:v>Record the endpoint or control, test identity, redacted request/response if applicable, observed behavior, and any owner/configuration evidence.</x:v>
      </x:c>
      <x:c r="O49" s="29" t="str">
        <x:v>Not Tested</x:v>
      </x:c>
      <x:c r="P49" s="29" t="str"/>
      <x:c r="Q49" s="29" t="str"/>
      <x:c r="R49" s="29" t="str"/>
      <x:c r="S49" s="29" t="str"/>
      <x:c r="T49" s="29" t="str"/>
      <x:c r="U49" s="29" t="str"/>
      <x:c r="V49" s="29" t="str"/>
      <x:c r="W49" s="29" t="str">
        <x:v>Not Started</x:v>
      </x:c>
      <x:c r="X49" s="29" t="str"/>
    </x:row>
    <x:row r="50" ht="78" customHeight="1">
      <x:c r="A50" s="29" t="str">
        <x:v>SUP-04</x:v>
      </x:c>
      <x:c r="B50" s="29" t="str">
        <x:v>Cross-category Supplemental Checks</x:v>
      </x:c>
      <x:c r="C50" s="29" t="str">
        <x:v>Dependency and version confirmation</x:v>
      </x:c>
      <x:c r="D50" s="29" t="str">
        <x:v>Use approved SCA/SBOM or configuration evidence to confirm vulnerable dependencies. A banner/version string alone does not prove the component is exploitable.</x:v>
      </x:c>
      <x:c r="E50" s="29" t="str"/>
      <x:c r="F50" s="29" t="str">
        <x:v>Review the stated control with the relevant application owner and validate using a synthetic test account where applicable.</x:v>
      </x:c>
      <x:c r="G50" s="29" t="str"/>
      <x:c r="H50" s="29" t="str"/>
      <x:c r="I50" s="29" t="str"/>
      <x:c r="J50" s="29" t="str">
        <x:v>Record: PASS / FAIL / INCONCLUSIVE, exact endpoint, synthetic account, request/response, observed state, and any evidence owner confirmation required.</x:v>
      </x:c>
      <x:c r="K50" s="29" t="str"/>
      <x:c r="L50" s="29" t="str"/>
      <x:c r="M50" s="29" t="str"/>
      <x:c r="N50" s="29" t="str">
        <x:v>Record the endpoint or control, test identity, redacted request/response if applicable, observed behavior, and any owner/configuration evidence.</x:v>
      </x:c>
      <x:c r="O50" s="29" t="str">
        <x:v>Not Tested</x:v>
      </x:c>
      <x:c r="P50" s="29" t="str"/>
      <x:c r="Q50" s="29" t="str"/>
      <x:c r="R50" s="29" t="str"/>
      <x:c r="S50" s="29" t="str"/>
      <x:c r="T50" s="29" t="str"/>
      <x:c r="U50" s="29" t="str"/>
      <x:c r="V50" s="29" t="str"/>
      <x:c r="W50" s="29" t="str">
        <x:v>Not Started</x:v>
      </x:c>
      <x:c r="X50" s="29" t="str"/>
    </x:row>
    <x:row r="51" ht="78" customHeight="1">
      <x:c r="A51" s="29" t="str">
        <x:v>SUP-05</x:v>
      </x:c>
      <x:c r="B51" s="29" t="str">
        <x:v>Cross-category Supplemental Checks</x:v>
      </x:c>
      <x:c r="C51" s="29" t="str">
        <x:v>Workflow sequencing and replay</x:v>
      </x:c>
      <x:c r="D51" s="29" t="str">
        <x:v>Use a synthetic workflow to test skipping steps, replaying one-time actions, and repeated safe requests. Confirm server-side state transitions and idempotency controls.</x:v>
      </x:c>
      <x:c r="E51" s="29" t="str"/>
      <x:c r="F51" s="29" t="str">
        <x:v>Review the stated control with the relevant application owner and validate using a synthetic test account where applicable.</x:v>
      </x:c>
      <x:c r="G51" s="29" t="str"/>
      <x:c r="H51" s="29" t="str"/>
      <x:c r="I51" s="29" t="str"/>
      <x:c r="J51" s="29" t="str">
        <x:v>Record: PASS / FAIL / INCONCLUSIVE, exact endpoint, synthetic account, request/response, observed state, and any evidence owner confirmation required.</x:v>
      </x:c>
      <x:c r="K51" s="29" t="str"/>
      <x:c r="L51" s="29" t="str"/>
      <x:c r="M51" s="29" t="str"/>
      <x:c r="N51" s="29" t="str">
        <x:v>Record the endpoint or control, test identity, redacted request/response if applicable, observed behavior, and any owner/configuration evidence.</x:v>
      </x:c>
      <x:c r="O51" s="29" t="str">
        <x:v>Not Tested</x:v>
      </x:c>
      <x:c r="P51" s="29" t="str"/>
      <x:c r="Q51" s="29" t="str"/>
      <x:c r="R51" s="29" t="str"/>
      <x:c r="S51" s="29" t="str"/>
      <x:c r="T51" s="29" t="str"/>
      <x:c r="U51" s="29" t="str"/>
      <x:c r="V51" s="29" t="str"/>
      <x:c r="W51" s="29" t="str">
        <x:v>Not Started</x:v>
      </x:c>
      <x:c r="X51" s="29" t="str"/>
    </x:row>
    <x:row r="52" ht="78" customHeight="1">
      <x:c r="A52" s="29" t="str">
        <x:v>SUP-06</x:v>
      </x:c>
      <x:c r="B52" s="29" t="str">
        <x:v>Cross-category Supplemental Checks</x:v>
      </x:c>
      <x:c r="C52" s="29" t="str">
        <x:v>API error/schema consistency</x:v>
      </x:c>
      <x:c r="D52" s="29" t="str">
        <x:v>Check that unknown fields, duplicate identifiers, malformed IDs and unsupported HTTP methods fail consistently without data leakage or parser differentials.</x:v>
      </x:c>
      <x:c r="E52" s="29" t="str"/>
      <x:c r="F52" s="29" t="str">
        <x:v>Review the stated control with the relevant application owner and validate using a synthetic test account where applicable.</x:v>
      </x:c>
      <x:c r="G52" s="29" t="str"/>
      <x:c r="H52" s="29" t="str"/>
      <x:c r="I52" s="29" t="str"/>
      <x:c r="J52" s="29" t="str">
        <x:v>Record: PASS / FAIL / INCONCLUSIVE, exact endpoint, synthetic account, request/response, observed state, and any evidence owner confirmation required.</x:v>
      </x:c>
      <x:c r="K52" s="29" t="str"/>
      <x:c r="L52" s="29" t="str"/>
      <x:c r="M52" s="29" t="str"/>
      <x:c r="N52" s="29" t="str">
        <x:v>Record the endpoint or control, test identity, redacted request/response if applicable, observed behavior, and any owner/configuration evidence.</x:v>
      </x:c>
      <x:c r="O52" s="29" t="str">
        <x:v>Not Tested</x:v>
      </x:c>
      <x:c r="P52" s="29" t="str"/>
      <x:c r="Q52" s="29" t="str"/>
      <x:c r="R52" s="29" t="str"/>
      <x:c r="S52" s="29" t="str"/>
      <x:c r="T52" s="29" t="str"/>
      <x:c r="U52" s="29" t="str"/>
      <x:c r="V52" s="29" t="str"/>
      <x:c r="W52" s="29" t="str">
        <x:v>Not Started</x:v>
      </x:c>
      <x:c r="X52" s="29" t="str"/>
    </x:row>
  </x:sheetData>
  <x:mergeCells>
    <x:mergeCell ref="A1:X1"/>
    <x:mergeCell ref="A2:X2"/>
  </x:mergeCells>
  <x:conditionalFormatting sqref="O5:O52">
    <x:cfRule type="expression" dxfId="0" priority="1">
      <x:formula>O5="Fail"</x:formula>
    </x:cfRule>
    <x:cfRule type="expression" dxfId="1" priority="2">
      <x:formula>O5="Pass"</x:formula>
    </x:cfRule>
    <x:cfRule type="expression" dxfId="2" priority="3">
      <x:formula>O5="Inconclusive"</x:formula>
    </x:cfRule>
  </x:conditionalFormatting>
  <x:dataValidations count="3">
    <x:dataValidation type="list" sqref="O5:O52">
      <x:formula1>"Not Tested,Pass,Fail,Inconclusive"</x:formula1>
    </x:dataValidation>
    <x:dataValidation type="list" sqref="T5:T52">
      <x:formula1>"Critical,High,Medium,Low,Informational,Unrated"</x:formula1>
    </x:dataValidation>
    <x:dataValidation type="list" sqref="W5:W52">
      <x:formula1>"Not Started,Retest Passed,Retest Failed,In Progress,Not Applicable"</x:formula1>
    </x:dataValidation>
  </x:dataValidations>
  <x:pageMargins left="0.7" right="0.7" top="0.75" bottom="0.75" header="0.3" footer="0.3"/>
  <x:tableParts count="1">
    <x:tablePart xmlns:r="http://schemas.openxmlformats.org/officeDocument/2006/relationships" r:id="Rec5bb5f259454296"/>
  </x:tableParts>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0" hidden="0" customWidth="1"/>
    <x:col min="2" max="2" width="110" hidden="0" customWidth="1"/>
  </x:cols>
  <x:sheetData>
    <x:row r="1" ht="34" customHeight="1">
      <x:c r="A1" s="59" t="str">
        <x:v>HOW TO USE THIS CHECKLIST</x:v>
      </x:c>
      <x:c r="B1" s="59"/>
      <x:c r="C1" s="59"/>
      <x:c r="D1" s="59"/>
    </x:row>
    <x:row r="3" ht="24" customHeight="1">
      <x:c r="A3" s="37" t="str">
        <x:v>Topic</x:v>
      </x:c>
      <x:c r="B3" s="37" t="str">
        <x:v>Guidance</x:v>
      </x:c>
    </x:row>
    <x:row r="4" ht="48" customHeight="1">
      <x:c r="A4" s="67" t="str">
        <x:v>Scope and authorization</x:v>
      </x:c>
      <x:c r="B4" s="63" t="str">
        <x:v>Confirm written authorization, in-scope hosts/APIs, test window, excluded actions, approved request rate, dedicated test identities, and an escalation contact.</x:v>
      </x:c>
    </x:row>
    <x:row r="5" ht="48" customHeight="1">
      <x:c r="A5" s="67" t="str">
        <x:v>Burp setup</x:v>
      </x:c>
      <x:c r="B5" s="63" t="str">
        <x:v>Set Target scope, configure the browser through Burp, and trust the Burp CA only in the approved test browser. Use Proxy → HTTP history to discover normal requests.</x:v>
      </x:c>
    </x:row>
    <x:row r="6" ht="48" customHeight="1">
      <x:c r="A6" s="67" t="str">
        <x:v>Baseline first</x:v>
      </x:c>
      <x:c r="B6" s="63" t="str">
        <x:v>Save a normal request/response. Record method, endpoint, role, parameters, cookies, content type, status, redirect, response length, and expected business behavior.</x:v>
      </x:c>
    </x:row>
    <x:row r="7" ht="48" customHeight="1">
      <x:c r="A7" s="67" t="str">
        <x:v>Controlled testing</x:v>
      </x:c>
      <x:c r="B7" s="63" t="str">
        <x:v>Send the baseline to Repeater and change one variable at a time. Prefer read-only routes and harmless markers. Use Comparer for response differences and Decoder for controlled encoding checks.</x:v>
      </x:c>
    </x:row>
    <x:row r="8" ht="48" customHeight="1">
      <x:c r="A8" s="67" t="str">
        <x:v>Intruder caution</x:v>
      </x:c>
      <x:c r="B8" s="63" t="str">
        <x:v>Use Intruder only when explicitly approved, with a small payload set and low rate. Avoid credential stuffing, high-volume brute force, broad enumeration, and denial-of-service tests.</x:v>
      </x:c>
    </x:row>
    <x:row r="9" ht="48" customHeight="1">
      <x:c r="A9" s="67" t="str">
        <x:v>Multi-account tests</x:v>
      </x:c>
      <x:c r="B9" s="63" t="str">
        <x:v>For authorization checks, use synthetic User A and User B records. Compare low-privileged and admin test sessions. Never access real customer records.</x:v>
      </x:c>
    </x:row>
    <x:row r="10" ht="48" customHeight="1">
      <x:c r="A10" s="67" t="str">
        <x:v>Status — Pass</x:v>
      </x:c>
      <x:c r="B10" s="63" t="str">
        <x:v>The intended security control was demonstrated for the specific test, endpoint, role, and environment. Record scope and limits.</x:v>
      </x:c>
    </x:row>
    <x:row r="11" ht="48" customHeight="1">
      <x:c r="A11" s="67" t="str">
        <x:v>Status — Fail</x:v>
      </x:c>
      <x:c r="B11" s="63" t="str">
        <x:v>A reproducible security weakness and meaningful technical/business impact were demonstrated. Capture minimal proof and stop before unnecessary data access or state changes.</x:v>
      </x:c>
    </x:row>
    <x:row r="12" ht="48" customHeight="1">
      <x:c r="A12" s="67" t="str">
        <x:v>Status — Inconclusive</x:v>
      </x:c>
      <x:c r="B12" s="63" t="str">
        <x:v>Access, evidence, environment, or result is insufficient to prove either secure behavior or a vulnerability. State what further evidence is needed.</x:v>
      </x:c>
    </x:row>
    <x:row r="13" ht="48" customHeight="1">
      <x:c r="A13" s="67" t="str">
        <x:v>Status — Not Tested</x:v>
      </x:c>
      <x:c r="B13" s="63" t="str">
        <x:v>Test has not been performed yet, or it is intentionally deferred. Do not treat it as Pass.</x:v>
      </x:c>
    </x:row>
    <x:row r="14" ht="48" customHeight="1">
      <x:c r="A14" s="67" t="str">
        <x:v>Evidence hygiene</x:v>
      </x:c>
      <x:c r="B14" s="63" t="str">
        <x:v>Capture redacted request/response pairs, timestamps, account role, exact endpoint/parameter, response differences, reproduction steps, and screenshots when useful. Redact passwords, tokens, keys, personal data, and unrelated records.</x:v>
      </x:c>
    </x:row>
    <x:row r="15" ht="48" customHeight="1">
      <x:c r="A15" s="67" t="str">
        <x:v>False positives</x:v>
      </x:c>
      <x:c r="B15" s="63" t="str">
        <x:v>A missing header, undocumented control, unusual status code, visually random token, generic error, or one noisy timing difference is not sufficient proof of exploitability. Repeat and corroborate.</x:v>
      </x:c>
    </x:row>
    <x:row r="16" ht="48" customHeight="1">
      <x:c r="A16" s="67" t="str">
        <x:v>Severity</x:v>
      </x:c>
      <x:c r="B16" s="63" t="str">
        <x:v>Initial risk is triage guidance. Set final severity after confirming exploitability, privileges, user interaction, scope, confidentiality/integrity/availability impact, and business context. Record CVSS version and vector where used.</x:v>
      </x:c>
    </x:row>
    <x:row r="17" ht="48" customHeight="1">
      <x:c r="A17" s="67" t="str">
        <x:v>Beyond Burp — cryptography</x:v>
      </x:c>
      <x:c r="B17" s="63" t="str">
        <x:v>Password hashing, encryption at rest, key rotation/custody, secure randomness, and storage permissions generally require source-code, identity-provider, KMS/cloud, or storage configuration evidence.</x:v>
      </x:c>
    </x:row>
    <x:row r="18" ht="48" customHeight="1">
      <x:c r="A18" s="67" t="str">
        <x:v>Beyond Burp — TLS</x:v>
      </x:c>
      <x:c r="B18" s="63" t="str">
        <x:v>Burp/browser traffic does not establish every supported server protocol/cipher. Use an approved TLS scan or configuration evidence.</x:v>
      </x:c>
    </x:row>
    <x:row r="19" ht="48" customHeight="1">
      <x:c r="A19" s="67" t="str">
        <x:v>Beyond Burp — browser controls</x:v>
      </x:c>
      <x:c r="B19" s="63" t="str">
        <x:v>Verify CORS and clickjacking in a real browser. Burp shows requests/headers but cannot alone prove every browser-enforced outcome.</x:v>
      </x:c>
    </x:row>
    <x:row r="20" ht="48" customHeight="1">
      <x:c r="A20" s="67" t="str">
        <x:v>Unverified controls</x:v>
      </x:c>
      <x:c r="B20" s="63" t="str">
        <x:v>If code/configuration access is unavailable, record the control as Unverified / Inconclusive and request the exact missing evidence. Do not assume a control is absent just because it is undocumented.</x:v>
      </x:c>
    </x:row>
    <x:row r="21" ht="48" customHeight="1">
      <x:c r="A21" s="67" t="str">
        <x:v>Retesting</x:v>
      </x:c>
      <x:c r="B21" s="63" t="str">
        <x:v>After remediation, repeat the original steps and adjacent regression cases using the same safe fixture. Record retest result, date, evidence, residual risk, and any limits.</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36" hidden="0" customWidth="1"/>
    <x:col min="4" max="4" width="30" hidden="0" customWidth="1"/>
    <x:col min="5" max="5" width="28" hidden="0" customWidth="1"/>
    <x:col min="6" max="6" width="28" hidden="0" customWidth="1"/>
    <x:col min="7" max="7" width="24" hidden="0" customWidth="1"/>
    <x:col min="8" max="8" width="22" hidden="0" customWidth="1"/>
    <x:col min="9" max="9" width="32" hidden="0" customWidth="1"/>
    <x:col min="10" max="10" width="42" hidden="0" customWidth="1"/>
    <x:col min="11" max="11" width="27" hidden="0" customWidth="1"/>
    <x:col min="12" max="12" width="16" hidden="0" customWidth="1"/>
    <x:col min="13" max="13" width="24" hidden="0" customWidth="1"/>
    <x:col min="14" max="14" width="13" hidden="0" customWidth="1"/>
    <x:col min="15" max="15" width="38" hidden="0" customWidth="1"/>
    <x:col min="16" max="16" width="18" hidden="0" customWidth="1"/>
    <x:col min="17" max="17" width="20" hidden="0" customWidth="1"/>
    <x:col min="18" max="18" width="16" hidden="0" customWidth="1"/>
    <x:col min="19" max="19" width="16" hidden="0" customWidth="1"/>
    <x:col min="20" max="20" width="17" hidden="0" customWidth="1"/>
    <x:col min="21" max="21" width="34" hidden="0" customWidth="1"/>
  </x:cols>
  <x:sheetData>
    <x:row r="1" ht="42" customHeight="1">
      <x:c r="A1" s="73" t="str">
        <x:v>Finding ID</x:v>
      </x:c>
      <x:c r="B1" s="73" t="str">
        <x:v>Test Case ID</x:v>
      </x:c>
      <x:c r="C1" s="73" t="str">
        <x:v>Finding Title</x:v>
      </x:c>
      <x:c r="D1" s="73" t="str">
        <x:v>Category</x:v>
      </x:c>
      <x:c r="E1" s="73" t="str">
        <x:v>Affected Host / Application</x:v>
      </x:c>
      <x:c r="F1" s="73" t="str">
        <x:v>Endpoint / Method</x:v>
      </x:c>
      <x:c r="G1" s="73" t="str">
        <x:v>Parameter / Component</x:v>
      </x:c>
      <x:c r="H1" s="73" t="str">
        <x:v>Account / Role / Tenant</x:v>
      </x:c>
      <x:c r="I1" s="73" t="str">
        <x:v>Preconditions</x:v>
      </x:c>
      <x:c r="J1" s="73" t="str">
        <x:v>Observed Behavior &amp; Evidence of Impact</x:v>
      </x:c>
      <x:c r="K1" s="73" t="str">
        <x:v>Evidence Reference (redacted)</x:v>
      </x:c>
      <x:c r="L1" s="73" t="str">
        <x:v>Initial Severity</x:v>
      </x:c>
      <x:c r="M1" s="73" t="str">
        <x:v>CVSS Version / Vector</x:v>
      </x:c>
      <x:c r="N1" s="73" t="str">
        <x:v>CVSS Score</x:v>
      </x:c>
      <x:c r="O1" s="73" t="str">
        <x:v>Recommended Remediation</x:v>
      </x:c>
      <x:c r="P1" s="73" t="str">
        <x:v>Owner</x:v>
      </x:c>
      <x:c r="Q1" s="73" t="str">
        <x:v>Status</x:v>
      </x:c>
      <x:c r="R1" s="73" t="str">
        <x:v>Target Fix Date</x:v>
      </x:c>
      <x:c r="S1" s="73" t="str">
        <x:v>Retest Date</x:v>
      </x:c>
      <x:c r="T1" s="73" t="str">
        <x:v>Retest Result</x:v>
      </x:c>
      <x:c r="U1" s="73" t="str">
        <x:v>Residual Risk / Notes</x:v>
      </x:c>
    </x:row>
    <x:row r="2" ht="34" customHeight="1">
      <x:c r="A2" s="29" t="str"/>
      <x:c r="B2" s="29" t="str"/>
      <x:c r="C2" s="29" t="str"/>
      <x:c r="D2" s="29" t="str"/>
      <x:c r="E2" s="29" t="str"/>
      <x:c r="F2" s="29" t="str"/>
      <x:c r="G2" s="29" t="str"/>
      <x:c r="H2" s="29" t="str"/>
      <x:c r="I2" s="29" t="str"/>
      <x:c r="J2" s="29" t="str"/>
      <x:c r="K2" s="29" t="str"/>
      <x:c r="L2" s="29" t="str"/>
      <x:c r="M2" s="29" t="str"/>
      <x:c r="N2" s="29" t="str"/>
      <x:c r="O2" s="29" t="str"/>
      <x:c r="P2" s="29" t="str"/>
      <x:c r="Q2" s="29" t="str"/>
      <x:c r="R2" s="29" t="str"/>
      <x:c r="S2" s="29" t="str"/>
      <x:c r="T2" s="29" t="str"/>
      <x:c r="U2" s="29" t="str"/>
    </x:row>
    <x:row r="3" ht="34" customHeight="1">
      <x:c r="A3" s="29" t="str"/>
      <x:c r="B3" s="29" t="str"/>
      <x:c r="C3" s="29" t="str"/>
      <x:c r="D3" s="29" t="str"/>
      <x:c r="E3" s="29" t="str"/>
      <x:c r="F3" s="29" t="str"/>
      <x:c r="G3" s="29" t="str"/>
      <x:c r="H3" s="29" t="str"/>
      <x:c r="I3" s="29" t="str"/>
      <x:c r="J3" s="29" t="str"/>
      <x:c r="K3" s="29" t="str"/>
      <x:c r="L3" s="29" t="str"/>
      <x:c r="M3" s="29" t="str"/>
      <x:c r="N3" s="29" t="str"/>
      <x:c r="O3" s="29" t="str"/>
      <x:c r="P3" s="29" t="str"/>
      <x:c r="Q3" s="29" t="str"/>
      <x:c r="R3" s="29" t="str"/>
      <x:c r="S3" s="29" t="str"/>
      <x:c r="T3" s="29" t="str"/>
      <x:c r="U3" s="29" t="str"/>
    </x:row>
    <x:row r="4" ht="34" customHeight="1">
      <x:c r="A4" s="29" t="str"/>
      <x:c r="B4" s="29" t="str"/>
      <x:c r="C4" s="29" t="str"/>
      <x:c r="D4" s="29" t="str"/>
      <x:c r="E4" s="29" t="str"/>
      <x:c r="F4" s="29" t="str"/>
      <x:c r="G4" s="29" t="str"/>
      <x:c r="H4" s="29" t="str"/>
      <x:c r="I4" s="29" t="str"/>
      <x:c r="J4" s="29" t="str"/>
      <x:c r="K4" s="29" t="str"/>
      <x:c r="L4" s="29" t="str"/>
      <x:c r="M4" s="29" t="str"/>
      <x:c r="N4" s="29" t="str"/>
      <x:c r="O4" s="29" t="str"/>
      <x:c r="P4" s="29" t="str"/>
      <x:c r="Q4" s="29" t="str"/>
      <x:c r="R4" s="29" t="str"/>
      <x:c r="S4" s="29" t="str"/>
      <x:c r="T4" s="29" t="str"/>
      <x:c r="U4" s="29" t="str"/>
    </x:row>
    <x:row r="5" ht="34" customHeight="1">
      <x:c r="A5" s="29" t="str"/>
      <x:c r="B5" s="29" t="str"/>
      <x:c r="C5" s="29" t="str"/>
      <x:c r="D5" s="29" t="str"/>
      <x:c r="E5" s="29" t="str"/>
      <x:c r="F5" s="29" t="str"/>
      <x:c r="G5" s="29" t="str"/>
      <x:c r="H5" s="29" t="str"/>
      <x:c r="I5" s="29" t="str"/>
      <x:c r="J5" s="29" t="str"/>
      <x:c r="K5" s="29" t="str"/>
      <x:c r="L5" s="29" t="str"/>
      <x:c r="M5" s="29" t="str"/>
      <x:c r="N5" s="29" t="str"/>
      <x:c r="O5" s="29" t="str"/>
      <x:c r="P5" s="29" t="str"/>
      <x:c r="Q5" s="29" t="str"/>
      <x:c r="R5" s="29" t="str"/>
      <x:c r="S5" s="29" t="str"/>
      <x:c r="T5" s="29" t="str"/>
      <x:c r="U5" s="29" t="str"/>
    </x:row>
    <x:row r="6" ht="34" customHeight="1">
      <x:c r="A6" s="29" t="str"/>
      <x:c r="B6" s="29" t="str"/>
      <x:c r="C6" s="29" t="str"/>
      <x:c r="D6" s="29" t="str"/>
      <x:c r="E6" s="29" t="str"/>
      <x:c r="F6" s="29" t="str"/>
      <x:c r="G6" s="29" t="str"/>
      <x:c r="H6" s="29" t="str"/>
      <x:c r="I6" s="29" t="str"/>
      <x:c r="J6" s="29" t="str"/>
      <x:c r="K6" s="29" t="str"/>
      <x:c r="L6" s="29" t="str"/>
      <x:c r="M6" s="29" t="str"/>
      <x:c r="N6" s="29" t="str"/>
      <x:c r="O6" s="29" t="str"/>
      <x:c r="P6" s="29" t="str"/>
      <x:c r="Q6" s="29" t="str"/>
      <x:c r="R6" s="29" t="str"/>
      <x:c r="S6" s="29" t="str"/>
      <x:c r="T6" s="29" t="str"/>
      <x:c r="U6" s="29" t="str"/>
    </x:row>
    <x:row r="7" ht="34" customHeight="1">
      <x:c r="A7" s="29" t="str"/>
      <x:c r="B7" s="29" t="str"/>
      <x:c r="C7" s="29" t="str"/>
      <x:c r="D7" s="29" t="str"/>
      <x:c r="E7" s="29" t="str"/>
      <x:c r="F7" s="29" t="str"/>
      <x:c r="G7" s="29" t="str"/>
      <x:c r="H7" s="29" t="str"/>
      <x:c r="I7" s="29" t="str"/>
      <x:c r="J7" s="29" t="str"/>
      <x:c r="K7" s="29" t="str"/>
      <x:c r="L7" s="29" t="str"/>
      <x:c r="M7" s="29" t="str"/>
      <x:c r="N7" s="29" t="str"/>
      <x:c r="O7" s="29" t="str"/>
      <x:c r="P7" s="29" t="str"/>
      <x:c r="Q7" s="29" t="str"/>
      <x:c r="R7" s="29" t="str"/>
      <x:c r="S7" s="29" t="str"/>
      <x:c r="T7" s="29" t="str"/>
      <x:c r="U7" s="29" t="str"/>
    </x:row>
    <x:row r="8" ht="34" customHeight="1">
      <x:c r="A8" s="29" t="str"/>
      <x:c r="B8" s="29" t="str"/>
      <x:c r="C8" s="29" t="str"/>
      <x:c r="D8" s="29" t="str"/>
      <x:c r="E8" s="29" t="str"/>
      <x:c r="F8" s="29" t="str"/>
      <x:c r="G8" s="29" t="str"/>
      <x:c r="H8" s="29" t="str"/>
      <x:c r="I8" s="29" t="str"/>
      <x:c r="J8" s="29" t="str"/>
      <x:c r="K8" s="29" t="str"/>
      <x:c r="L8" s="29" t="str"/>
      <x:c r="M8" s="29" t="str"/>
      <x:c r="N8" s="29" t="str"/>
      <x:c r="O8" s="29" t="str"/>
      <x:c r="P8" s="29" t="str"/>
      <x:c r="Q8" s="29" t="str"/>
      <x:c r="R8" s="29" t="str"/>
      <x:c r="S8" s="29" t="str"/>
      <x:c r="T8" s="29" t="str"/>
      <x:c r="U8" s="29" t="str"/>
    </x:row>
    <x:row r="9" ht="34" customHeight="1">
      <x:c r="A9" s="29" t="str"/>
      <x:c r="B9" s="29" t="str"/>
      <x:c r="C9" s="29" t="str"/>
      <x:c r="D9" s="29" t="str"/>
      <x:c r="E9" s="29" t="str"/>
      <x:c r="F9" s="29" t="str"/>
      <x:c r="G9" s="29" t="str"/>
      <x:c r="H9" s="29" t="str"/>
      <x:c r="I9" s="29" t="str"/>
      <x:c r="J9" s="29" t="str"/>
      <x:c r="K9" s="29" t="str"/>
      <x:c r="L9" s="29" t="str"/>
      <x:c r="M9" s="29" t="str"/>
      <x:c r="N9" s="29" t="str"/>
      <x:c r="O9" s="29" t="str"/>
      <x:c r="P9" s="29" t="str"/>
      <x:c r="Q9" s="29" t="str"/>
      <x:c r="R9" s="29" t="str"/>
      <x:c r="S9" s="29" t="str"/>
      <x:c r="T9" s="29" t="str"/>
      <x:c r="U9" s="29" t="str"/>
    </x:row>
    <x:row r="10" ht="34" customHeight="1">
      <x:c r="A10" s="29" t="str"/>
      <x:c r="B10" s="29" t="str"/>
      <x:c r="C10" s="29" t="str"/>
      <x:c r="D10" s="29" t="str"/>
      <x:c r="E10" s="29" t="str"/>
      <x:c r="F10" s="29" t="str"/>
      <x:c r="G10" s="29" t="str"/>
      <x:c r="H10" s="29" t="str"/>
      <x:c r="I10" s="29" t="str"/>
      <x:c r="J10" s="29" t="str"/>
      <x:c r="K10" s="29" t="str"/>
      <x:c r="L10" s="29" t="str"/>
      <x:c r="M10" s="29" t="str"/>
      <x:c r="N10" s="29" t="str"/>
      <x:c r="O10" s="29" t="str"/>
      <x:c r="P10" s="29" t="str"/>
      <x:c r="Q10" s="29" t="str"/>
      <x:c r="R10" s="29" t="str"/>
      <x:c r="S10" s="29" t="str"/>
      <x:c r="T10" s="29" t="str"/>
      <x:c r="U10" s="29" t="str"/>
    </x:row>
    <x:row r="11" ht="34" customHeight="1">
      <x:c r="A11" s="29" t="str"/>
      <x:c r="B11" s="29" t="str"/>
      <x:c r="C11" s="29" t="str"/>
      <x:c r="D11" s="29" t="str"/>
      <x:c r="E11" s="29" t="str"/>
      <x:c r="F11" s="29" t="str"/>
      <x:c r="G11" s="29" t="str"/>
      <x:c r="H11" s="29" t="str"/>
      <x:c r="I11" s="29" t="str"/>
      <x:c r="J11" s="29" t="str"/>
      <x:c r="K11" s="29" t="str"/>
      <x:c r="L11" s="29" t="str"/>
      <x:c r="M11" s="29" t="str"/>
      <x:c r="N11" s="29" t="str"/>
      <x:c r="O11" s="29" t="str"/>
      <x:c r="P11" s="29" t="str"/>
      <x:c r="Q11" s="29" t="str"/>
      <x:c r="R11" s="29" t="str"/>
      <x:c r="S11" s="29" t="str"/>
      <x:c r="T11" s="29" t="str"/>
      <x:c r="U11" s="29" t="str"/>
    </x:row>
    <x:row r="12" ht="34" customHeight="1">
      <x:c r="A12" s="29" t="str"/>
      <x:c r="B12" s="29" t="str"/>
      <x:c r="C12" s="29" t="str"/>
      <x:c r="D12" s="29" t="str"/>
      <x:c r="E12" s="29" t="str"/>
      <x:c r="F12" s="29" t="str"/>
      <x:c r="G12" s="29" t="str"/>
      <x:c r="H12" s="29" t="str"/>
      <x:c r="I12" s="29" t="str"/>
      <x:c r="J12" s="29" t="str"/>
      <x:c r="K12" s="29" t="str"/>
      <x:c r="L12" s="29" t="str"/>
      <x:c r="M12" s="29" t="str"/>
      <x:c r="N12" s="29" t="str"/>
      <x:c r="O12" s="29" t="str"/>
      <x:c r="P12" s="29" t="str"/>
      <x:c r="Q12" s="29" t="str"/>
      <x:c r="R12" s="29" t="str"/>
      <x:c r="S12" s="29" t="str"/>
      <x:c r="T12" s="29" t="str"/>
      <x:c r="U12" s="29" t="str"/>
    </x:row>
    <x:row r="13" ht="34" customHeight="1">
      <x:c r="A13" s="29" t="str"/>
      <x:c r="B13" s="29" t="str"/>
      <x:c r="C13" s="29" t="str"/>
      <x:c r="D13" s="29" t="str"/>
      <x:c r="E13" s="29" t="str"/>
      <x:c r="F13" s="29" t="str"/>
      <x:c r="G13" s="29" t="str"/>
      <x:c r="H13" s="29" t="str"/>
      <x:c r="I13" s="29" t="str"/>
      <x:c r="J13" s="29" t="str"/>
      <x:c r="K13" s="29" t="str"/>
      <x:c r="L13" s="29" t="str"/>
      <x:c r="M13" s="29" t="str"/>
      <x:c r="N13" s="29" t="str"/>
      <x:c r="O13" s="29" t="str"/>
      <x:c r="P13" s="29" t="str"/>
      <x:c r="Q13" s="29" t="str"/>
      <x:c r="R13" s="29" t="str"/>
      <x:c r="S13" s="29" t="str"/>
      <x:c r="T13" s="29" t="str"/>
      <x:c r="U13" s="29" t="str"/>
    </x:row>
    <x:row r="14" ht="34" customHeight="1">
      <x:c r="A14" s="29" t="str"/>
      <x:c r="B14" s="29" t="str"/>
      <x:c r="C14" s="29" t="str"/>
      <x:c r="D14" s="29" t="str"/>
      <x:c r="E14" s="29" t="str"/>
      <x:c r="F14" s="29" t="str"/>
      <x:c r="G14" s="29" t="str"/>
      <x:c r="H14" s="29" t="str"/>
      <x:c r="I14" s="29" t="str"/>
      <x:c r="J14" s="29" t="str"/>
      <x:c r="K14" s="29" t="str"/>
      <x:c r="L14" s="29" t="str"/>
      <x:c r="M14" s="29" t="str"/>
      <x:c r="N14" s="29" t="str"/>
      <x:c r="O14" s="29" t="str"/>
      <x:c r="P14" s="29" t="str"/>
      <x:c r="Q14" s="29" t="str"/>
      <x:c r="R14" s="29" t="str"/>
      <x:c r="S14" s="29" t="str"/>
      <x:c r="T14" s="29" t="str"/>
      <x:c r="U14" s="29" t="str"/>
    </x:row>
    <x:row r="15" ht="34" customHeight="1">
      <x:c r="A15" s="29" t="str"/>
      <x:c r="B15" s="29" t="str"/>
      <x:c r="C15" s="29" t="str"/>
      <x:c r="D15" s="29" t="str"/>
      <x:c r="E15" s="29" t="str"/>
      <x:c r="F15" s="29" t="str"/>
      <x:c r="G15" s="29" t="str"/>
      <x:c r="H15" s="29" t="str"/>
      <x:c r="I15" s="29" t="str"/>
      <x:c r="J15" s="29" t="str"/>
      <x:c r="K15" s="29" t="str"/>
      <x:c r="L15" s="29" t="str"/>
      <x:c r="M15" s="29" t="str"/>
      <x:c r="N15" s="29" t="str"/>
      <x:c r="O15" s="29" t="str"/>
      <x:c r="P15" s="29" t="str"/>
      <x:c r="Q15" s="29" t="str"/>
      <x:c r="R15" s="29" t="str"/>
      <x:c r="S15" s="29" t="str"/>
      <x:c r="T15" s="29" t="str"/>
      <x:c r="U15" s="29" t="str"/>
    </x:row>
    <x:row r="16" ht="34" customHeight="1">
      <x:c r="A16" s="29" t="str"/>
      <x:c r="B16" s="29" t="str"/>
      <x:c r="C16" s="29" t="str"/>
      <x:c r="D16" s="29" t="str"/>
      <x:c r="E16" s="29" t="str"/>
      <x:c r="F16" s="29" t="str"/>
      <x:c r="G16" s="29" t="str"/>
      <x:c r="H16" s="29" t="str"/>
      <x:c r="I16" s="29" t="str"/>
      <x:c r="J16" s="29" t="str"/>
      <x:c r="K16" s="29" t="str"/>
      <x:c r="L16" s="29" t="str"/>
      <x:c r="M16" s="29" t="str"/>
      <x:c r="N16" s="29" t="str"/>
      <x:c r="O16" s="29" t="str"/>
      <x:c r="P16" s="29" t="str"/>
      <x:c r="Q16" s="29" t="str"/>
      <x:c r="R16" s="29" t="str"/>
      <x:c r="S16" s="29" t="str"/>
      <x:c r="T16" s="29" t="str"/>
      <x:c r="U16" s="29" t="str"/>
    </x:row>
    <x:row r="17" ht="34" customHeight="1">
      <x:c r="A17" s="29" t="str"/>
      <x:c r="B17" s="29" t="str"/>
      <x:c r="C17" s="29" t="str"/>
      <x:c r="D17" s="29" t="str"/>
      <x:c r="E17" s="29" t="str"/>
      <x:c r="F17" s="29" t="str"/>
      <x:c r="G17" s="29" t="str"/>
      <x:c r="H17" s="29" t="str"/>
      <x:c r="I17" s="29" t="str"/>
      <x:c r="J17" s="29" t="str"/>
      <x:c r="K17" s="29" t="str"/>
      <x:c r="L17" s="29" t="str"/>
      <x:c r="M17" s="29" t="str"/>
      <x:c r="N17" s="29" t="str"/>
      <x:c r="O17" s="29" t="str"/>
      <x:c r="P17" s="29" t="str"/>
      <x:c r="Q17" s="29" t="str"/>
      <x:c r="R17" s="29" t="str"/>
      <x:c r="S17" s="29" t="str"/>
      <x:c r="T17" s="29" t="str"/>
      <x:c r="U17" s="29" t="str"/>
    </x:row>
    <x:row r="18" ht="34" customHeight="1">
      <x:c r="A18" s="29" t="str"/>
      <x:c r="B18" s="29" t="str"/>
      <x:c r="C18" s="29" t="str"/>
      <x:c r="D18" s="29" t="str"/>
      <x:c r="E18" s="29" t="str"/>
      <x:c r="F18" s="29" t="str"/>
      <x:c r="G18" s="29" t="str"/>
      <x:c r="H18" s="29" t="str"/>
      <x:c r="I18" s="29" t="str"/>
      <x:c r="J18" s="29" t="str"/>
      <x:c r="K18" s="29" t="str"/>
      <x:c r="L18" s="29" t="str"/>
      <x:c r="M18" s="29" t="str"/>
      <x:c r="N18" s="29" t="str"/>
      <x:c r="O18" s="29" t="str"/>
      <x:c r="P18" s="29" t="str"/>
      <x:c r="Q18" s="29" t="str"/>
      <x:c r="R18" s="29" t="str"/>
      <x:c r="S18" s="29" t="str"/>
      <x:c r="T18" s="29" t="str"/>
      <x:c r="U18" s="29" t="str"/>
    </x:row>
    <x:row r="19" ht="34" customHeight="1">
      <x:c r="A19" s="29" t="str"/>
      <x:c r="B19" s="29" t="str"/>
      <x:c r="C19" s="29" t="str"/>
      <x:c r="D19" s="29" t="str"/>
      <x:c r="E19" s="29" t="str"/>
      <x:c r="F19" s="29" t="str"/>
      <x:c r="G19" s="29" t="str"/>
      <x:c r="H19" s="29" t="str"/>
      <x:c r="I19" s="29" t="str"/>
      <x:c r="J19" s="29" t="str"/>
      <x:c r="K19" s="29" t="str"/>
      <x:c r="L19" s="29" t="str"/>
      <x:c r="M19" s="29" t="str"/>
      <x:c r="N19" s="29" t="str"/>
      <x:c r="O19" s="29" t="str"/>
      <x:c r="P19" s="29" t="str"/>
      <x:c r="Q19" s="29" t="str"/>
      <x:c r="R19" s="29" t="str"/>
      <x:c r="S19" s="29" t="str"/>
      <x:c r="T19" s="29" t="str"/>
      <x:c r="U19" s="29" t="str"/>
    </x:row>
    <x:row r="20" ht="34" customHeight="1">
      <x:c r="A20" s="29" t="str"/>
      <x:c r="B20" s="29" t="str"/>
      <x:c r="C20" s="29" t="str"/>
      <x:c r="D20" s="29" t="str"/>
      <x:c r="E20" s="29" t="str"/>
      <x:c r="F20" s="29" t="str"/>
      <x:c r="G20" s="29" t="str"/>
      <x:c r="H20" s="29" t="str"/>
      <x:c r="I20" s="29" t="str"/>
      <x:c r="J20" s="29" t="str"/>
      <x:c r="K20" s="29" t="str"/>
      <x:c r="L20" s="29" t="str"/>
      <x:c r="M20" s="29" t="str"/>
      <x:c r="N20" s="29" t="str"/>
      <x:c r="O20" s="29" t="str"/>
      <x:c r="P20" s="29" t="str"/>
      <x:c r="Q20" s="29" t="str"/>
      <x:c r="R20" s="29" t="str"/>
      <x:c r="S20" s="29" t="str"/>
      <x:c r="T20" s="29" t="str"/>
      <x:c r="U20" s="29" t="str"/>
    </x:row>
    <x:row r="21" ht="34" customHeight="1">
      <x:c r="A21" s="29" t="str"/>
      <x:c r="B21" s="29" t="str"/>
      <x:c r="C21" s="29" t="str"/>
      <x:c r="D21" s="29" t="str"/>
      <x:c r="E21" s="29" t="str"/>
      <x:c r="F21" s="29" t="str"/>
      <x:c r="G21" s="29" t="str"/>
      <x:c r="H21" s="29" t="str"/>
      <x:c r="I21" s="29" t="str"/>
      <x:c r="J21" s="29" t="str"/>
      <x:c r="K21" s="29" t="str"/>
      <x:c r="L21" s="29" t="str"/>
      <x:c r="M21" s="29" t="str"/>
      <x:c r="N21" s="29" t="str"/>
      <x:c r="O21" s="29" t="str"/>
      <x:c r="P21" s="29" t="str"/>
      <x:c r="Q21" s="29" t="str"/>
      <x:c r="R21" s="29" t="str"/>
      <x:c r="S21" s="29" t="str"/>
      <x:c r="T21" s="29" t="str"/>
      <x:c r="U21" s="29" t="str"/>
    </x:row>
    <x:row r="22" ht="34" customHeight="1">
      <x:c r="A22" s="29" t="str"/>
      <x:c r="B22" s="29" t="str"/>
      <x:c r="C22" s="29" t="str"/>
      <x:c r="D22" s="29" t="str"/>
      <x:c r="E22" s="29" t="str"/>
      <x:c r="F22" s="29" t="str"/>
      <x:c r="G22" s="29" t="str"/>
      <x:c r="H22" s="29" t="str"/>
      <x:c r="I22" s="29" t="str"/>
      <x:c r="J22" s="29" t="str"/>
      <x:c r="K22" s="29" t="str"/>
      <x:c r="L22" s="29" t="str"/>
      <x:c r="M22" s="29" t="str"/>
      <x:c r="N22" s="29" t="str"/>
      <x:c r="O22" s="29" t="str"/>
      <x:c r="P22" s="29" t="str"/>
      <x:c r="Q22" s="29" t="str"/>
      <x:c r="R22" s="29" t="str"/>
      <x:c r="S22" s="29" t="str"/>
      <x:c r="T22" s="29" t="str"/>
      <x:c r="U22" s="29" t="str"/>
    </x:row>
    <x:row r="23" ht="34" customHeight="1">
      <x:c r="A23" s="29" t="str"/>
      <x:c r="B23" s="29" t="str"/>
      <x:c r="C23" s="29" t="str"/>
      <x:c r="D23" s="29" t="str"/>
      <x:c r="E23" s="29" t="str"/>
      <x:c r="F23" s="29" t="str"/>
      <x:c r="G23" s="29" t="str"/>
      <x:c r="H23" s="29" t="str"/>
      <x:c r="I23" s="29" t="str"/>
      <x:c r="J23" s="29" t="str"/>
      <x:c r="K23" s="29" t="str"/>
      <x:c r="L23" s="29" t="str"/>
      <x:c r="M23" s="29" t="str"/>
      <x:c r="N23" s="29" t="str"/>
      <x:c r="O23" s="29" t="str"/>
      <x:c r="P23" s="29" t="str"/>
      <x:c r="Q23" s="29" t="str"/>
      <x:c r="R23" s="29" t="str"/>
      <x:c r="S23" s="29" t="str"/>
      <x:c r="T23" s="29" t="str"/>
      <x:c r="U23" s="29" t="str"/>
    </x:row>
    <x:row r="24" ht="34" customHeight="1">
      <x:c r="A24" s="29" t="str"/>
      <x:c r="B24" s="29" t="str"/>
      <x:c r="C24" s="29" t="str"/>
      <x:c r="D24" s="29" t="str"/>
      <x:c r="E24" s="29" t="str"/>
      <x:c r="F24" s="29" t="str"/>
      <x:c r="G24" s="29" t="str"/>
      <x:c r="H24" s="29" t="str"/>
      <x:c r="I24" s="29" t="str"/>
      <x:c r="J24" s="29" t="str"/>
      <x:c r="K24" s="29" t="str"/>
      <x:c r="L24" s="29" t="str"/>
      <x:c r="M24" s="29" t="str"/>
      <x:c r="N24" s="29" t="str"/>
      <x:c r="O24" s="29" t="str"/>
      <x:c r="P24" s="29" t="str"/>
      <x:c r="Q24" s="29" t="str"/>
      <x:c r="R24" s="29" t="str"/>
      <x:c r="S24" s="29" t="str"/>
      <x:c r="T24" s="29" t="str"/>
      <x:c r="U24" s="29" t="str"/>
    </x:row>
    <x:row r="25" ht="34" customHeight="1">
      <x:c r="A25" s="29" t="str"/>
      <x:c r="B25" s="29" t="str"/>
      <x:c r="C25" s="29" t="str"/>
      <x:c r="D25" s="29" t="str"/>
      <x:c r="E25" s="29" t="str"/>
      <x:c r="F25" s="29" t="str"/>
      <x:c r="G25" s="29" t="str"/>
      <x:c r="H25" s="29" t="str"/>
      <x:c r="I25" s="29" t="str"/>
      <x:c r="J25" s="29" t="str"/>
      <x:c r="K25" s="29" t="str"/>
      <x:c r="L25" s="29" t="str"/>
      <x:c r="M25" s="29" t="str"/>
      <x:c r="N25" s="29" t="str"/>
      <x:c r="O25" s="29" t="str"/>
      <x:c r="P25" s="29" t="str"/>
      <x:c r="Q25" s="29" t="str"/>
      <x:c r="R25" s="29" t="str"/>
      <x:c r="S25" s="29" t="str"/>
      <x:c r="T25" s="29" t="str"/>
      <x:c r="U25" s="29" t="str"/>
    </x:row>
    <x:row r="26" ht="34" customHeight="1">
      <x:c r="A26" s="29" t="str"/>
      <x:c r="B26" s="29" t="str"/>
      <x:c r="C26" s="29" t="str"/>
      <x:c r="D26" s="29" t="str"/>
      <x:c r="E26" s="29" t="str"/>
      <x:c r="F26" s="29" t="str"/>
      <x:c r="G26" s="29" t="str"/>
      <x:c r="H26" s="29" t="str"/>
      <x:c r="I26" s="29" t="str"/>
      <x:c r="J26" s="29" t="str"/>
      <x:c r="K26" s="29" t="str"/>
      <x:c r="L26" s="29" t="str"/>
      <x:c r="M26" s="29" t="str"/>
      <x:c r="N26" s="29" t="str"/>
      <x:c r="O26" s="29" t="str"/>
      <x:c r="P26" s="29" t="str"/>
      <x:c r="Q26" s="29" t="str"/>
      <x:c r="R26" s="29" t="str"/>
      <x:c r="S26" s="29" t="str"/>
      <x:c r="T26" s="29" t="str"/>
      <x:c r="U26" s="29" t="str"/>
    </x:row>
    <x:row r="27" ht="34" customHeight="1">
      <x:c r="A27" s="29" t="str"/>
      <x:c r="B27" s="29" t="str"/>
      <x:c r="C27" s="29" t="str"/>
      <x:c r="D27" s="29" t="str"/>
      <x:c r="E27" s="29" t="str"/>
      <x:c r="F27" s="29" t="str"/>
      <x:c r="G27" s="29" t="str"/>
      <x:c r="H27" s="29" t="str"/>
      <x:c r="I27" s="29" t="str"/>
      <x:c r="J27" s="29" t="str"/>
      <x:c r="K27" s="29" t="str"/>
      <x:c r="L27" s="29" t="str"/>
      <x:c r="M27" s="29" t="str"/>
      <x:c r="N27" s="29" t="str"/>
      <x:c r="O27" s="29" t="str"/>
      <x:c r="P27" s="29" t="str"/>
      <x:c r="Q27" s="29" t="str"/>
      <x:c r="R27" s="29" t="str"/>
      <x:c r="S27" s="29" t="str"/>
      <x:c r="T27" s="29" t="str"/>
      <x:c r="U27" s="29" t="str"/>
    </x:row>
    <x:row r="28" ht="34" customHeight="1">
      <x:c r="A28" s="29" t="str"/>
      <x:c r="B28" s="29" t="str"/>
      <x:c r="C28" s="29" t="str"/>
      <x:c r="D28" s="29" t="str"/>
      <x:c r="E28" s="29" t="str"/>
      <x:c r="F28" s="29" t="str"/>
      <x:c r="G28" s="29" t="str"/>
      <x:c r="H28" s="29" t="str"/>
      <x:c r="I28" s="29" t="str"/>
      <x:c r="J28" s="29" t="str"/>
      <x:c r="K28" s="29" t="str"/>
      <x:c r="L28" s="29" t="str"/>
      <x:c r="M28" s="29" t="str"/>
      <x:c r="N28" s="29" t="str"/>
      <x:c r="O28" s="29" t="str"/>
      <x:c r="P28" s="29" t="str"/>
      <x:c r="Q28" s="29" t="str"/>
      <x:c r="R28" s="29" t="str"/>
      <x:c r="S28" s="29" t="str"/>
      <x:c r="T28" s="29" t="str"/>
      <x:c r="U28" s="29" t="str"/>
    </x:row>
    <x:row r="29" ht="34" customHeight="1">
      <x:c r="A29" s="29" t="str"/>
      <x:c r="B29" s="29" t="str"/>
      <x:c r="C29" s="29" t="str"/>
      <x:c r="D29" s="29" t="str"/>
      <x:c r="E29" s="29" t="str"/>
      <x:c r="F29" s="29" t="str"/>
      <x:c r="G29" s="29" t="str"/>
      <x:c r="H29" s="29" t="str"/>
      <x:c r="I29" s="29" t="str"/>
      <x:c r="J29" s="29" t="str"/>
      <x:c r="K29" s="29" t="str"/>
      <x:c r="L29" s="29" t="str"/>
      <x:c r="M29" s="29" t="str"/>
      <x:c r="N29" s="29" t="str"/>
      <x:c r="O29" s="29" t="str"/>
      <x:c r="P29" s="29" t="str"/>
      <x:c r="Q29" s="29" t="str"/>
      <x:c r="R29" s="29" t="str"/>
      <x:c r="S29" s="29" t="str"/>
      <x:c r="T29" s="29" t="str"/>
      <x:c r="U29" s="29" t="str"/>
    </x:row>
    <x:row r="30" ht="34" customHeight="1">
      <x:c r="A30" s="29" t="str"/>
      <x:c r="B30" s="29" t="str"/>
      <x:c r="C30" s="29" t="str"/>
      <x:c r="D30" s="29" t="str"/>
      <x:c r="E30" s="29" t="str"/>
      <x:c r="F30" s="29" t="str"/>
      <x:c r="G30" s="29" t="str"/>
      <x:c r="H30" s="29" t="str"/>
      <x:c r="I30" s="29" t="str"/>
      <x:c r="J30" s="29" t="str"/>
      <x:c r="K30" s="29" t="str"/>
      <x:c r="L30" s="29" t="str"/>
      <x:c r="M30" s="29" t="str"/>
      <x:c r="N30" s="29" t="str"/>
      <x:c r="O30" s="29" t="str"/>
      <x:c r="P30" s="29" t="str"/>
      <x:c r="Q30" s="29" t="str"/>
      <x:c r="R30" s="29" t="str"/>
      <x:c r="S30" s="29" t="str"/>
      <x:c r="T30" s="29" t="str"/>
      <x:c r="U30" s="29" t="str"/>
    </x:row>
    <x:row r="31" ht="34" customHeight="1">
      <x:c r="A31" s="29" t="str"/>
      <x:c r="B31" s="29" t="str"/>
      <x:c r="C31" s="29" t="str"/>
      <x:c r="D31" s="29" t="str"/>
      <x:c r="E31" s="29" t="str"/>
      <x:c r="F31" s="29" t="str"/>
      <x:c r="G31" s="29" t="str"/>
      <x:c r="H31" s="29" t="str"/>
      <x:c r="I31" s="29" t="str"/>
      <x:c r="J31" s="29" t="str"/>
      <x:c r="K31" s="29" t="str"/>
      <x:c r="L31" s="29" t="str"/>
      <x:c r="M31" s="29" t="str"/>
      <x:c r="N31" s="29" t="str"/>
      <x:c r="O31" s="29" t="str"/>
      <x:c r="P31" s="29" t="str"/>
      <x:c r="Q31" s="29" t="str"/>
      <x:c r="R31" s="29" t="str"/>
      <x:c r="S31" s="29" t="str"/>
      <x:c r="T31" s="29" t="str"/>
      <x:c r="U31" s="29" t="str"/>
    </x:row>
    <x:row r="32" ht="34" customHeight="1">
      <x:c r="A32" s="29" t="str"/>
      <x:c r="B32" s="29" t="str"/>
      <x:c r="C32" s="29" t="str"/>
      <x:c r="D32" s="29" t="str"/>
      <x:c r="E32" s="29" t="str"/>
      <x:c r="F32" s="29" t="str"/>
      <x:c r="G32" s="29" t="str"/>
      <x:c r="H32" s="29" t="str"/>
      <x:c r="I32" s="29" t="str"/>
      <x:c r="J32" s="29" t="str"/>
      <x:c r="K32" s="29" t="str"/>
      <x:c r="L32" s="29" t="str"/>
      <x:c r="M32" s="29" t="str"/>
      <x:c r="N32" s="29" t="str"/>
      <x:c r="O32" s="29" t="str"/>
      <x:c r="P32" s="29" t="str"/>
      <x:c r="Q32" s="29" t="str"/>
      <x:c r="R32" s="29" t="str"/>
      <x:c r="S32" s="29" t="str"/>
      <x:c r="T32" s="29" t="str"/>
      <x:c r="U32" s="29" t="str"/>
    </x:row>
    <x:row r="33" ht="34" customHeight="1">
      <x:c r="A33" s="29" t="str"/>
      <x:c r="B33" s="29" t="str"/>
      <x:c r="C33" s="29" t="str"/>
      <x:c r="D33" s="29" t="str"/>
      <x:c r="E33" s="29" t="str"/>
      <x:c r="F33" s="29" t="str"/>
      <x:c r="G33" s="29" t="str"/>
      <x:c r="H33" s="29" t="str"/>
      <x:c r="I33" s="29" t="str"/>
      <x:c r="J33" s="29" t="str"/>
      <x:c r="K33" s="29" t="str"/>
      <x:c r="L33" s="29" t="str"/>
      <x:c r="M33" s="29" t="str"/>
      <x:c r="N33" s="29" t="str"/>
      <x:c r="O33" s="29" t="str"/>
      <x:c r="P33" s="29" t="str"/>
      <x:c r="Q33" s="29" t="str"/>
      <x:c r="R33" s="29" t="str"/>
      <x:c r="S33" s="29" t="str"/>
      <x:c r="T33" s="29" t="str"/>
      <x:c r="U33" s="29" t="str"/>
    </x:row>
    <x:row r="34" ht="34" customHeight="1">
      <x:c r="A34" s="29" t="str"/>
      <x:c r="B34" s="29" t="str"/>
      <x:c r="C34" s="29" t="str"/>
      <x:c r="D34" s="29" t="str"/>
      <x:c r="E34" s="29" t="str"/>
      <x:c r="F34" s="29" t="str"/>
      <x:c r="G34" s="29" t="str"/>
      <x:c r="H34" s="29" t="str"/>
      <x:c r="I34" s="29" t="str"/>
      <x:c r="J34" s="29" t="str"/>
      <x:c r="K34" s="29" t="str"/>
      <x:c r="L34" s="29" t="str"/>
      <x:c r="M34" s="29" t="str"/>
      <x:c r="N34" s="29" t="str"/>
      <x:c r="O34" s="29" t="str"/>
      <x:c r="P34" s="29" t="str"/>
      <x:c r="Q34" s="29" t="str"/>
      <x:c r="R34" s="29" t="str"/>
      <x:c r="S34" s="29" t="str"/>
      <x:c r="T34" s="29" t="str"/>
      <x:c r="U34" s="29" t="str"/>
    </x:row>
    <x:row r="35" ht="34" customHeight="1">
      <x:c r="A35" s="29" t="str"/>
      <x:c r="B35" s="29" t="str"/>
      <x:c r="C35" s="29" t="str"/>
      <x:c r="D35" s="29" t="str"/>
      <x:c r="E35" s="29" t="str"/>
      <x:c r="F35" s="29" t="str"/>
      <x:c r="G35" s="29" t="str"/>
      <x:c r="H35" s="29" t="str"/>
      <x:c r="I35" s="29" t="str"/>
      <x:c r="J35" s="29" t="str"/>
      <x:c r="K35" s="29" t="str"/>
      <x:c r="L35" s="29" t="str"/>
      <x:c r="M35" s="29" t="str"/>
      <x:c r="N35" s="29" t="str"/>
      <x:c r="O35" s="29" t="str"/>
      <x:c r="P35" s="29" t="str"/>
      <x:c r="Q35" s="29" t="str"/>
      <x:c r="R35" s="29" t="str"/>
      <x:c r="S35" s="29" t="str"/>
      <x:c r="T35" s="29" t="str"/>
      <x:c r="U35" s="29" t="str"/>
    </x:row>
    <x:row r="36" ht="34" customHeight="1">
      <x:c r="A36" s="29" t="str"/>
      <x:c r="B36" s="29" t="str"/>
      <x:c r="C36" s="29" t="str"/>
      <x:c r="D36" s="29" t="str"/>
      <x:c r="E36" s="29" t="str"/>
      <x:c r="F36" s="29" t="str"/>
      <x:c r="G36" s="29" t="str"/>
      <x:c r="H36" s="29" t="str"/>
      <x:c r="I36" s="29" t="str"/>
      <x:c r="J36" s="29" t="str"/>
      <x:c r="K36" s="29" t="str"/>
      <x:c r="L36" s="29" t="str"/>
      <x:c r="M36" s="29" t="str"/>
      <x:c r="N36" s="29" t="str"/>
      <x:c r="O36" s="29" t="str"/>
      <x:c r="P36" s="29" t="str"/>
      <x:c r="Q36" s="29" t="str"/>
      <x:c r="R36" s="29" t="str"/>
      <x:c r="S36" s="29" t="str"/>
      <x:c r="T36" s="29" t="str"/>
      <x:c r="U36" s="29" t="str"/>
    </x:row>
    <x:row r="37" ht="34" customHeight="1">
      <x:c r="A37" s="29" t="str"/>
      <x:c r="B37" s="29" t="str"/>
      <x:c r="C37" s="29" t="str"/>
      <x:c r="D37" s="29" t="str"/>
      <x:c r="E37" s="29" t="str"/>
      <x:c r="F37" s="29" t="str"/>
      <x:c r="G37" s="29" t="str"/>
      <x:c r="H37" s="29" t="str"/>
      <x:c r="I37" s="29" t="str"/>
      <x:c r="J37" s="29" t="str"/>
      <x:c r="K37" s="29" t="str"/>
      <x:c r="L37" s="29" t="str"/>
      <x:c r="M37" s="29" t="str"/>
      <x:c r="N37" s="29" t="str"/>
      <x:c r="O37" s="29" t="str"/>
      <x:c r="P37" s="29" t="str"/>
      <x:c r="Q37" s="29" t="str"/>
      <x:c r="R37" s="29" t="str"/>
      <x:c r="S37" s="29" t="str"/>
      <x:c r="T37" s="29" t="str"/>
      <x:c r="U37" s="29" t="str"/>
    </x:row>
    <x:row r="38" ht="34" customHeight="1">
      <x:c r="A38" s="29" t="str"/>
      <x:c r="B38" s="29" t="str"/>
      <x:c r="C38" s="29" t="str"/>
      <x:c r="D38" s="29" t="str"/>
      <x:c r="E38" s="29" t="str"/>
      <x:c r="F38" s="29" t="str"/>
      <x:c r="G38" s="29" t="str"/>
      <x:c r="H38" s="29" t="str"/>
      <x:c r="I38" s="29" t="str"/>
      <x:c r="J38" s="29" t="str"/>
      <x:c r="K38" s="29" t="str"/>
      <x:c r="L38" s="29" t="str"/>
      <x:c r="M38" s="29" t="str"/>
      <x:c r="N38" s="29" t="str"/>
      <x:c r="O38" s="29" t="str"/>
      <x:c r="P38" s="29" t="str"/>
      <x:c r="Q38" s="29" t="str"/>
      <x:c r="R38" s="29" t="str"/>
      <x:c r="S38" s="29" t="str"/>
      <x:c r="T38" s="29" t="str"/>
      <x:c r="U38" s="29" t="str"/>
    </x:row>
    <x:row r="39" ht="34" customHeight="1">
      <x:c r="A39" s="29" t="str"/>
      <x:c r="B39" s="29" t="str"/>
      <x:c r="C39" s="29" t="str"/>
      <x:c r="D39" s="29" t="str"/>
      <x:c r="E39" s="29" t="str"/>
      <x:c r="F39" s="29" t="str"/>
      <x:c r="G39" s="29" t="str"/>
      <x:c r="H39" s="29" t="str"/>
      <x:c r="I39" s="29" t="str"/>
      <x:c r="J39" s="29" t="str"/>
      <x:c r="K39" s="29" t="str"/>
      <x:c r="L39" s="29" t="str"/>
      <x:c r="M39" s="29" t="str"/>
      <x:c r="N39" s="29" t="str"/>
      <x:c r="O39" s="29" t="str"/>
      <x:c r="P39" s="29" t="str"/>
      <x:c r="Q39" s="29" t="str"/>
      <x:c r="R39" s="29" t="str"/>
      <x:c r="S39" s="29" t="str"/>
      <x:c r="T39" s="29" t="str"/>
      <x:c r="U39" s="29" t="str"/>
    </x:row>
    <x:row r="40" ht="34" customHeight="1">
      <x:c r="A40" s="29" t="str"/>
      <x:c r="B40" s="29" t="str"/>
      <x:c r="C40" s="29" t="str"/>
      <x:c r="D40" s="29" t="str"/>
      <x:c r="E40" s="29" t="str"/>
      <x:c r="F40" s="29" t="str"/>
      <x:c r="G40" s="29" t="str"/>
      <x:c r="H40" s="29" t="str"/>
      <x:c r="I40" s="29" t="str"/>
      <x:c r="J40" s="29" t="str"/>
      <x:c r="K40" s="29" t="str"/>
      <x:c r="L40" s="29" t="str"/>
      <x:c r="M40" s="29" t="str"/>
      <x:c r="N40" s="29" t="str"/>
      <x:c r="O40" s="29" t="str"/>
      <x:c r="P40" s="29" t="str"/>
      <x:c r="Q40" s="29" t="str"/>
      <x:c r="R40" s="29" t="str"/>
      <x:c r="S40" s="29" t="str"/>
      <x:c r="T40" s="29" t="str"/>
      <x:c r="U40" s="29" t="str"/>
    </x:row>
    <x:row r="41" ht="34" customHeight="1">
      <x:c r="A41" s="29" t="str"/>
      <x:c r="B41" s="29" t="str"/>
      <x:c r="C41" s="29" t="str"/>
      <x:c r="D41" s="29" t="str"/>
      <x:c r="E41" s="29" t="str"/>
      <x:c r="F41" s="29" t="str"/>
      <x:c r="G41" s="29" t="str"/>
      <x:c r="H41" s="29" t="str"/>
      <x:c r="I41" s="29" t="str"/>
      <x:c r="J41" s="29" t="str"/>
      <x:c r="K41" s="29" t="str"/>
      <x:c r="L41" s="29" t="str"/>
      <x:c r="M41" s="29" t="str"/>
      <x:c r="N41" s="29" t="str"/>
      <x:c r="O41" s="29" t="str"/>
      <x:c r="P41" s="29" t="str"/>
      <x:c r="Q41" s="29" t="str"/>
      <x:c r="R41" s="29" t="str"/>
      <x:c r="S41" s="29" t="str"/>
      <x:c r="T41" s="29" t="str"/>
      <x:c r="U41" s="29" t="str"/>
    </x:row>
    <x:row r="42" ht="34" customHeight="1">
      <x:c r="A42" s="29" t="str"/>
      <x:c r="B42" s="29" t="str"/>
      <x:c r="C42" s="29" t="str"/>
      <x:c r="D42" s="29" t="str"/>
      <x:c r="E42" s="29" t="str"/>
      <x:c r="F42" s="29" t="str"/>
      <x:c r="G42" s="29" t="str"/>
      <x:c r="H42" s="29" t="str"/>
      <x:c r="I42" s="29" t="str"/>
      <x:c r="J42" s="29" t="str"/>
      <x:c r="K42" s="29" t="str"/>
      <x:c r="L42" s="29" t="str"/>
      <x:c r="M42" s="29" t="str"/>
      <x:c r="N42" s="29" t="str"/>
      <x:c r="O42" s="29" t="str"/>
      <x:c r="P42" s="29" t="str"/>
      <x:c r="Q42" s="29" t="str"/>
      <x:c r="R42" s="29" t="str"/>
      <x:c r="S42" s="29" t="str"/>
      <x:c r="T42" s="29" t="str"/>
      <x:c r="U42" s="29" t="str"/>
    </x:row>
    <x:row r="43" ht="34" customHeight="1">
      <x:c r="A43" s="29" t="str"/>
      <x:c r="B43" s="29" t="str"/>
      <x:c r="C43" s="29" t="str"/>
      <x:c r="D43" s="29" t="str"/>
      <x:c r="E43" s="29" t="str"/>
      <x:c r="F43" s="29" t="str"/>
      <x:c r="G43" s="29" t="str"/>
      <x:c r="H43" s="29" t="str"/>
      <x:c r="I43" s="29" t="str"/>
      <x:c r="J43" s="29" t="str"/>
      <x:c r="K43" s="29" t="str"/>
      <x:c r="L43" s="29" t="str"/>
      <x:c r="M43" s="29" t="str"/>
      <x:c r="N43" s="29" t="str"/>
      <x:c r="O43" s="29" t="str"/>
      <x:c r="P43" s="29" t="str"/>
      <x:c r="Q43" s="29" t="str"/>
      <x:c r="R43" s="29" t="str"/>
      <x:c r="S43" s="29" t="str"/>
      <x:c r="T43" s="29" t="str"/>
      <x:c r="U43" s="29" t="str"/>
    </x:row>
    <x:row r="44" ht="34" customHeight="1">
      <x:c r="A44" s="29" t="str"/>
      <x:c r="B44" s="29" t="str"/>
      <x:c r="C44" s="29" t="str"/>
      <x:c r="D44" s="29" t="str"/>
      <x:c r="E44" s="29" t="str"/>
      <x:c r="F44" s="29" t="str"/>
      <x:c r="G44" s="29" t="str"/>
      <x:c r="H44" s="29" t="str"/>
      <x:c r="I44" s="29" t="str"/>
      <x:c r="J44" s="29" t="str"/>
      <x:c r="K44" s="29" t="str"/>
      <x:c r="L44" s="29" t="str"/>
      <x:c r="M44" s="29" t="str"/>
      <x:c r="N44" s="29" t="str"/>
      <x:c r="O44" s="29" t="str"/>
      <x:c r="P44" s="29" t="str"/>
      <x:c r="Q44" s="29" t="str"/>
      <x:c r="R44" s="29" t="str"/>
      <x:c r="S44" s="29" t="str"/>
      <x:c r="T44" s="29" t="str"/>
      <x:c r="U44" s="29" t="str"/>
    </x:row>
    <x:row r="45" ht="34" customHeight="1">
      <x:c r="A45" s="29" t="str"/>
      <x:c r="B45" s="29" t="str"/>
      <x:c r="C45" s="29" t="str"/>
      <x:c r="D45" s="29" t="str"/>
      <x:c r="E45" s="29" t="str"/>
      <x:c r="F45" s="29" t="str"/>
      <x:c r="G45" s="29" t="str"/>
      <x:c r="H45" s="29" t="str"/>
      <x:c r="I45" s="29" t="str"/>
      <x:c r="J45" s="29" t="str"/>
      <x:c r="K45" s="29" t="str"/>
      <x:c r="L45" s="29" t="str"/>
      <x:c r="M45" s="29" t="str"/>
      <x:c r="N45" s="29" t="str"/>
      <x:c r="O45" s="29" t="str"/>
      <x:c r="P45" s="29" t="str"/>
      <x:c r="Q45" s="29" t="str"/>
      <x:c r="R45" s="29" t="str"/>
      <x:c r="S45" s="29" t="str"/>
      <x:c r="T45" s="29" t="str"/>
      <x:c r="U45" s="29" t="str"/>
    </x:row>
    <x:row r="46" ht="34" customHeight="1">
      <x:c r="A46" s="29" t="str"/>
      <x:c r="B46" s="29" t="str"/>
      <x:c r="C46" s="29" t="str"/>
      <x:c r="D46" s="29" t="str"/>
      <x:c r="E46" s="29" t="str"/>
      <x:c r="F46" s="29" t="str"/>
      <x:c r="G46" s="29" t="str"/>
      <x:c r="H46" s="29" t="str"/>
      <x:c r="I46" s="29" t="str"/>
      <x:c r="J46" s="29" t="str"/>
      <x:c r="K46" s="29" t="str"/>
      <x:c r="L46" s="29" t="str"/>
      <x:c r="M46" s="29" t="str"/>
      <x:c r="N46" s="29" t="str"/>
      <x:c r="O46" s="29" t="str"/>
      <x:c r="P46" s="29" t="str"/>
      <x:c r="Q46" s="29" t="str"/>
      <x:c r="R46" s="29" t="str"/>
      <x:c r="S46" s="29" t="str"/>
      <x:c r="T46" s="29" t="str"/>
      <x:c r="U46" s="29" t="str"/>
    </x:row>
    <x:row r="47" ht="34" customHeight="1">
      <x:c r="A47" s="29" t="str"/>
      <x:c r="B47" s="29" t="str"/>
      <x:c r="C47" s="29" t="str"/>
      <x:c r="D47" s="29" t="str"/>
      <x:c r="E47" s="29" t="str"/>
      <x:c r="F47" s="29" t="str"/>
      <x:c r="G47" s="29" t="str"/>
      <x:c r="H47" s="29" t="str"/>
      <x:c r="I47" s="29" t="str"/>
      <x:c r="J47" s="29" t="str"/>
      <x:c r="K47" s="29" t="str"/>
      <x:c r="L47" s="29" t="str"/>
      <x:c r="M47" s="29" t="str"/>
      <x:c r="N47" s="29" t="str"/>
      <x:c r="O47" s="29" t="str"/>
      <x:c r="P47" s="29" t="str"/>
      <x:c r="Q47" s="29" t="str"/>
      <x:c r="R47" s="29" t="str"/>
      <x:c r="S47" s="29" t="str"/>
      <x:c r="T47" s="29" t="str"/>
      <x:c r="U47" s="29" t="str"/>
    </x:row>
    <x:row r="48" ht="34" customHeight="1">
      <x:c r="A48" s="29" t="str"/>
      <x:c r="B48" s="29" t="str"/>
      <x:c r="C48" s="29" t="str"/>
      <x:c r="D48" s="29" t="str"/>
      <x:c r="E48" s="29" t="str"/>
      <x:c r="F48" s="29" t="str"/>
      <x:c r="G48" s="29" t="str"/>
      <x:c r="H48" s="29" t="str"/>
      <x:c r="I48" s="29" t="str"/>
      <x:c r="J48" s="29" t="str"/>
      <x:c r="K48" s="29" t="str"/>
      <x:c r="L48" s="29" t="str"/>
      <x:c r="M48" s="29" t="str"/>
      <x:c r="N48" s="29" t="str"/>
      <x:c r="O48" s="29" t="str"/>
      <x:c r="P48" s="29" t="str"/>
      <x:c r="Q48" s="29" t="str"/>
      <x:c r="R48" s="29" t="str"/>
      <x:c r="S48" s="29" t="str"/>
      <x:c r="T48" s="29" t="str"/>
      <x:c r="U48" s="29" t="str"/>
    </x:row>
    <x:row r="49" ht="34" customHeight="1">
      <x:c r="A49" s="29" t="str"/>
      <x:c r="B49" s="29" t="str"/>
      <x:c r="C49" s="29" t="str"/>
      <x:c r="D49" s="29" t="str"/>
      <x:c r="E49" s="29" t="str"/>
      <x:c r="F49" s="29" t="str"/>
      <x:c r="G49" s="29" t="str"/>
      <x:c r="H49" s="29" t="str"/>
      <x:c r="I49" s="29" t="str"/>
      <x:c r="J49" s="29" t="str"/>
      <x:c r="K49" s="29" t="str"/>
      <x:c r="L49" s="29" t="str"/>
      <x:c r="M49" s="29" t="str"/>
      <x:c r="N49" s="29" t="str"/>
      <x:c r="O49" s="29" t="str"/>
      <x:c r="P49" s="29" t="str"/>
      <x:c r="Q49" s="29" t="str"/>
      <x:c r="R49" s="29" t="str"/>
      <x:c r="S49" s="29" t="str"/>
      <x:c r="T49" s="29" t="str"/>
      <x:c r="U49" s="29" t="str"/>
    </x:row>
    <x:row r="50" ht="34" customHeight="1">
      <x:c r="A50" s="29" t="str"/>
      <x:c r="B50" s="29" t="str"/>
      <x:c r="C50" s="29" t="str"/>
      <x:c r="D50" s="29" t="str"/>
      <x:c r="E50" s="29" t="str"/>
      <x:c r="F50" s="29" t="str"/>
      <x:c r="G50" s="29" t="str"/>
      <x:c r="H50" s="29" t="str"/>
      <x:c r="I50" s="29" t="str"/>
      <x:c r="J50" s="29" t="str"/>
      <x:c r="K50" s="29" t="str"/>
      <x:c r="L50" s="29" t="str"/>
      <x:c r="M50" s="29" t="str"/>
      <x:c r="N50" s="29" t="str"/>
      <x:c r="O50" s="29" t="str"/>
      <x:c r="P50" s="29" t="str"/>
      <x:c r="Q50" s="29" t="str"/>
      <x:c r="R50" s="29" t="str"/>
      <x:c r="S50" s="29" t="str"/>
      <x:c r="T50" s="29" t="str"/>
      <x:c r="U50" s="29" t="str"/>
    </x:row>
    <x:row r="51" ht="34" customHeight="1">
      <x:c r="A51" s="29" t="str"/>
      <x:c r="B51" s="29" t="str"/>
      <x:c r="C51" s="29" t="str"/>
      <x:c r="D51" s="29" t="str"/>
      <x:c r="E51" s="29" t="str"/>
      <x:c r="F51" s="29" t="str"/>
      <x:c r="G51" s="29" t="str"/>
      <x:c r="H51" s="29" t="str"/>
      <x:c r="I51" s="29" t="str"/>
      <x:c r="J51" s="29" t="str"/>
      <x:c r="K51" s="29" t="str"/>
      <x:c r="L51" s="29" t="str"/>
      <x:c r="M51" s="29" t="str"/>
      <x:c r="N51" s="29" t="str"/>
      <x:c r="O51" s="29" t="str"/>
      <x:c r="P51" s="29" t="str"/>
      <x:c r="Q51" s="29" t="str"/>
      <x:c r="R51" s="29" t="str"/>
      <x:c r="S51" s="29" t="str"/>
      <x:c r="T51" s="29" t="str"/>
      <x:c r="U51" s="29" t="str"/>
    </x:row>
    <x:row r="52" ht="34" customHeight="1">
      <x:c r="A52" s="29" t="str"/>
      <x:c r="B52" s="29" t="str"/>
      <x:c r="C52" s="29" t="str"/>
      <x:c r="D52" s="29" t="str"/>
      <x:c r="E52" s="29" t="str"/>
      <x:c r="F52" s="29" t="str"/>
      <x:c r="G52" s="29" t="str"/>
      <x:c r="H52" s="29" t="str"/>
      <x:c r="I52" s="29" t="str"/>
      <x:c r="J52" s="29" t="str"/>
      <x:c r="K52" s="29" t="str"/>
      <x:c r="L52" s="29" t="str"/>
      <x:c r="M52" s="29" t="str"/>
      <x:c r="N52" s="29" t="str"/>
      <x:c r="O52" s="29" t="str"/>
      <x:c r="P52" s="29" t="str"/>
      <x:c r="Q52" s="29" t="str"/>
      <x:c r="R52" s="29" t="str"/>
      <x:c r="S52" s="29" t="str"/>
      <x:c r="T52" s="29" t="str"/>
      <x:c r="U52" s="29" t="str"/>
    </x:row>
    <x:row r="53" ht="34" customHeight="1">
      <x:c r="A53" s="29" t="str"/>
      <x:c r="B53" s="29" t="str"/>
      <x:c r="C53" s="29" t="str"/>
      <x:c r="D53" s="29" t="str"/>
      <x:c r="E53" s="29" t="str"/>
      <x:c r="F53" s="29" t="str"/>
      <x:c r="G53" s="29" t="str"/>
      <x:c r="H53" s="29" t="str"/>
      <x:c r="I53" s="29" t="str"/>
      <x:c r="J53" s="29" t="str"/>
      <x:c r="K53" s="29" t="str"/>
      <x:c r="L53" s="29" t="str"/>
      <x:c r="M53" s="29" t="str"/>
      <x:c r="N53" s="29" t="str"/>
      <x:c r="O53" s="29" t="str"/>
      <x:c r="P53" s="29" t="str"/>
      <x:c r="Q53" s="29" t="str"/>
      <x:c r="R53" s="29" t="str"/>
      <x:c r="S53" s="29" t="str"/>
      <x:c r="T53" s="29" t="str"/>
      <x:c r="U53" s="29" t="str"/>
    </x:row>
    <x:row r="54" ht="34" customHeight="1">
      <x:c r="A54" s="29" t="str"/>
      <x:c r="B54" s="29" t="str"/>
      <x:c r="C54" s="29" t="str"/>
      <x:c r="D54" s="29" t="str"/>
      <x:c r="E54" s="29" t="str"/>
      <x:c r="F54" s="29" t="str"/>
      <x:c r="G54" s="29" t="str"/>
      <x:c r="H54" s="29" t="str"/>
      <x:c r="I54" s="29" t="str"/>
      <x:c r="J54" s="29" t="str"/>
      <x:c r="K54" s="29" t="str"/>
      <x:c r="L54" s="29" t="str"/>
      <x:c r="M54" s="29" t="str"/>
      <x:c r="N54" s="29" t="str"/>
      <x:c r="O54" s="29" t="str"/>
      <x:c r="P54" s="29" t="str"/>
      <x:c r="Q54" s="29" t="str"/>
      <x:c r="R54" s="29" t="str"/>
      <x:c r="S54" s="29" t="str"/>
      <x:c r="T54" s="29" t="str"/>
      <x:c r="U54" s="29" t="str"/>
    </x:row>
    <x:row r="55" ht="34" customHeight="1">
      <x:c r="A55" s="29" t="str"/>
      <x:c r="B55" s="29" t="str"/>
      <x:c r="C55" s="29" t="str"/>
      <x:c r="D55" s="29" t="str"/>
      <x:c r="E55" s="29" t="str"/>
      <x:c r="F55" s="29" t="str"/>
      <x:c r="G55" s="29" t="str"/>
      <x:c r="H55" s="29" t="str"/>
      <x:c r="I55" s="29" t="str"/>
      <x:c r="J55" s="29" t="str"/>
      <x:c r="K55" s="29" t="str"/>
      <x:c r="L55" s="29" t="str"/>
      <x:c r="M55" s="29" t="str"/>
      <x:c r="N55" s="29" t="str"/>
      <x:c r="O55" s="29" t="str"/>
      <x:c r="P55" s="29" t="str"/>
      <x:c r="Q55" s="29" t="str"/>
      <x:c r="R55" s="29" t="str"/>
      <x:c r="S55" s="29" t="str"/>
      <x:c r="T55" s="29" t="str"/>
      <x:c r="U55" s="29" t="str"/>
    </x:row>
    <x:row r="56" ht="34" customHeight="1">
      <x:c r="A56" s="29" t="str"/>
      <x:c r="B56" s="29" t="str"/>
      <x:c r="C56" s="29" t="str"/>
      <x:c r="D56" s="29" t="str"/>
      <x:c r="E56" s="29" t="str"/>
      <x:c r="F56" s="29" t="str"/>
      <x:c r="G56" s="29" t="str"/>
      <x:c r="H56" s="29" t="str"/>
      <x:c r="I56" s="29" t="str"/>
      <x:c r="J56" s="29" t="str"/>
      <x:c r="K56" s="29" t="str"/>
      <x:c r="L56" s="29" t="str"/>
      <x:c r="M56" s="29" t="str"/>
      <x:c r="N56" s="29" t="str"/>
      <x:c r="O56" s="29" t="str"/>
      <x:c r="P56" s="29" t="str"/>
      <x:c r="Q56" s="29" t="str"/>
      <x:c r="R56" s="29" t="str"/>
      <x:c r="S56" s="29" t="str"/>
      <x:c r="T56" s="29" t="str"/>
      <x:c r="U56" s="29" t="str"/>
    </x:row>
    <x:row r="57" ht="34" customHeight="1">
      <x:c r="A57" s="29" t="str"/>
      <x:c r="B57" s="29" t="str"/>
      <x:c r="C57" s="29" t="str"/>
      <x:c r="D57" s="29" t="str"/>
      <x:c r="E57" s="29" t="str"/>
      <x:c r="F57" s="29" t="str"/>
      <x:c r="G57" s="29" t="str"/>
      <x:c r="H57" s="29" t="str"/>
      <x:c r="I57" s="29" t="str"/>
      <x:c r="J57" s="29" t="str"/>
      <x:c r="K57" s="29" t="str"/>
      <x:c r="L57" s="29" t="str"/>
      <x:c r="M57" s="29" t="str"/>
      <x:c r="N57" s="29" t="str"/>
      <x:c r="O57" s="29" t="str"/>
      <x:c r="P57" s="29" t="str"/>
      <x:c r="Q57" s="29" t="str"/>
      <x:c r="R57" s="29" t="str"/>
      <x:c r="S57" s="29" t="str"/>
      <x:c r="T57" s="29" t="str"/>
      <x:c r="U57" s="29" t="str"/>
    </x:row>
    <x:row r="58" ht="34" customHeight="1">
      <x:c r="A58" s="29" t="str"/>
      <x:c r="B58" s="29" t="str"/>
      <x:c r="C58" s="29" t="str"/>
      <x:c r="D58" s="29" t="str"/>
      <x:c r="E58" s="29" t="str"/>
      <x:c r="F58" s="29" t="str"/>
      <x:c r="G58" s="29" t="str"/>
      <x:c r="H58" s="29" t="str"/>
      <x:c r="I58" s="29" t="str"/>
      <x:c r="J58" s="29" t="str"/>
      <x:c r="K58" s="29" t="str"/>
      <x:c r="L58" s="29" t="str"/>
      <x:c r="M58" s="29" t="str"/>
      <x:c r="N58" s="29" t="str"/>
      <x:c r="O58" s="29" t="str"/>
      <x:c r="P58" s="29" t="str"/>
      <x:c r="Q58" s="29" t="str"/>
      <x:c r="R58" s="29" t="str"/>
      <x:c r="S58" s="29" t="str"/>
      <x:c r="T58" s="29" t="str"/>
      <x:c r="U58" s="29" t="str"/>
    </x:row>
    <x:row r="59" ht="34" customHeight="1">
      <x:c r="A59" s="29" t="str"/>
      <x:c r="B59" s="29" t="str"/>
      <x:c r="C59" s="29" t="str"/>
      <x:c r="D59" s="29" t="str"/>
      <x:c r="E59" s="29" t="str"/>
      <x:c r="F59" s="29" t="str"/>
      <x:c r="G59" s="29" t="str"/>
      <x:c r="H59" s="29" t="str"/>
      <x:c r="I59" s="29" t="str"/>
      <x:c r="J59" s="29" t="str"/>
      <x:c r="K59" s="29" t="str"/>
      <x:c r="L59" s="29" t="str"/>
      <x:c r="M59" s="29" t="str"/>
      <x:c r="N59" s="29" t="str"/>
      <x:c r="O59" s="29" t="str"/>
      <x:c r="P59" s="29" t="str"/>
      <x:c r="Q59" s="29" t="str"/>
      <x:c r="R59" s="29" t="str"/>
      <x:c r="S59" s="29" t="str"/>
      <x:c r="T59" s="29" t="str"/>
      <x:c r="U59" s="29" t="str"/>
    </x:row>
    <x:row r="60" ht="34" customHeight="1">
      <x:c r="A60" s="29" t="str"/>
      <x:c r="B60" s="29" t="str"/>
      <x:c r="C60" s="29" t="str"/>
      <x:c r="D60" s="29" t="str"/>
      <x:c r="E60" s="29" t="str"/>
      <x:c r="F60" s="29" t="str"/>
      <x:c r="G60" s="29" t="str"/>
      <x:c r="H60" s="29" t="str"/>
      <x:c r="I60" s="29" t="str"/>
      <x:c r="J60" s="29" t="str"/>
      <x:c r="K60" s="29" t="str"/>
      <x:c r="L60" s="29" t="str"/>
      <x:c r="M60" s="29" t="str"/>
      <x:c r="N60" s="29" t="str"/>
      <x:c r="O60" s="29" t="str"/>
      <x:c r="P60" s="29" t="str"/>
      <x:c r="Q60" s="29" t="str"/>
      <x:c r="R60" s="29" t="str"/>
      <x:c r="S60" s="29" t="str"/>
      <x:c r="T60" s="29" t="str"/>
      <x:c r="U60" s="29" t="str"/>
    </x:row>
    <x:row r="61" ht="34" customHeight="1">
      <x:c r="A61" s="29" t="str"/>
      <x:c r="B61" s="29" t="str"/>
      <x:c r="C61" s="29" t="str"/>
      <x:c r="D61" s="29" t="str"/>
      <x:c r="E61" s="29" t="str"/>
      <x:c r="F61" s="29" t="str"/>
      <x:c r="G61" s="29" t="str"/>
      <x:c r="H61" s="29" t="str"/>
      <x:c r="I61" s="29" t="str"/>
      <x:c r="J61" s="29" t="str"/>
      <x:c r="K61" s="29" t="str"/>
      <x:c r="L61" s="29" t="str"/>
      <x:c r="M61" s="29" t="str"/>
      <x:c r="N61" s="29" t="str"/>
      <x:c r="O61" s="29" t="str"/>
      <x:c r="P61" s="29" t="str"/>
      <x:c r="Q61" s="29" t="str"/>
      <x:c r="R61" s="29" t="str"/>
      <x:c r="S61" s="29" t="str"/>
      <x:c r="T61" s="29" t="str"/>
      <x:c r="U61" s="29" t="str"/>
    </x:row>
    <x:row r="62" ht="34" customHeight="1">
      <x:c r="A62" s="29" t="str"/>
      <x:c r="B62" s="29" t="str"/>
      <x:c r="C62" s="29" t="str"/>
      <x:c r="D62" s="29" t="str"/>
      <x:c r="E62" s="29" t="str"/>
      <x:c r="F62" s="29" t="str"/>
      <x:c r="G62" s="29" t="str"/>
      <x:c r="H62" s="29" t="str"/>
      <x:c r="I62" s="29" t="str"/>
      <x:c r="J62" s="29" t="str"/>
      <x:c r="K62" s="29" t="str"/>
      <x:c r="L62" s="29" t="str"/>
      <x:c r="M62" s="29" t="str"/>
      <x:c r="N62" s="29" t="str"/>
      <x:c r="O62" s="29" t="str"/>
      <x:c r="P62" s="29" t="str"/>
      <x:c r="Q62" s="29" t="str"/>
      <x:c r="R62" s="29" t="str"/>
      <x:c r="S62" s="29" t="str"/>
      <x:c r="T62" s="29" t="str"/>
      <x:c r="U62" s="29" t="str"/>
    </x:row>
    <x:row r="63" ht="34" customHeight="1">
      <x:c r="A63" s="29" t="str"/>
      <x:c r="B63" s="29" t="str"/>
      <x:c r="C63" s="29" t="str"/>
      <x:c r="D63" s="29" t="str"/>
      <x:c r="E63" s="29" t="str"/>
      <x:c r="F63" s="29" t="str"/>
      <x:c r="G63" s="29" t="str"/>
      <x:c r="H63" s="29" t="str"/>
      <x:c r="I63" s="29" t="str"/>
      <x:c r="J63" s="29" t="str"/>
      <x:c r="K63" s="29" t="str"/>
      <x:c r="L63" s="29" t="str"/>
      <x:c r="M63" s="29" t="str"/>
      <x:c r="N63" s="29" t="str"/>
      <x:c r="O63" s="29" t="str"/>
      <x:c r="P63" s="29" t="str"/>
      <x:c r="Q63" s="29" t="str"/>
      <x:c r="R63" s="29" t="str"/>
      <x:c r="S63" s="29" t="str"/>
      <x:c r="T63" s="29" t="str"/>
      <x:c r="U63" s="29" t="str"/>
    </x:row>
    <x:row r="64" ht="34" customHeight="1">
      <x:c r="A64" s="29" t="str"/>
      <x:c r="B64" s="29" t="str"/>
      <x:c r="C64" s="29" t="str"/>
      <x:c r="D64" s="29" t="str"/>
      <x:c r="E64" s="29" t="str"/>
      <x:c r="F64" s="29" t="str"/>
      <x:c r="G64" s="29" t="str"/>
      <x:c r="H64" s="29" t="str"/>
      <x:c r="I64" s="29" t="str"/>
      <x:c r="J64" s="29" t="str"/>
      <x:c r="K64" s="29" t="str"/>
      <x:c r="L64" s="29" t="str"/>
      <x:c r="M64" s="29" t="str"/>
      <x:c r="N64" s="29" t="str"/>
      <x:c r="O64" s="29" t="str"/>
      <x:c r="P64" s="29" t="str"/>
      <x:c r="Q64" s="29" t="str"/>
      <x:c r="R64" s="29" t="str"/>
      <x:c r="S64" s="29" t="str"/>
      <x:c r="T64" s="29" t="str"/>
      <x:c r="U64" s="29" t="str"/>
    </x:row>
    <x:row r="65" ht="34" customHeight="1">
      <x:c r="A65" s="29" t="str"/>
      <x:c r="B65" s="29" t="str"/>
      <x:c r="C65" s="29" t="str"/>
      <x:c r="D65" s="29" t="str"/>
      <x:c r="E65" s="29" t="str"/>
      <x:c r="F65" s="29" t="str"/>
      <x:c r="G65" s="29" t="str"/>
      <x:c r="H65" s="29" t="str"/>
      <x:c r="I65" s="29" t="str"/>
      <x:c r="J65" s="29" t="str"/>
      <x:c r="K65" s="29" t="str"/>
      <x:c r="L65" s="29" t="str"/>
      <x:c r="M65" s="29" t="str"/>
      <x:c r="N65" s="29" t="str"/>
      <x:c r="O65" s="29" t="str"/>
      <x:c r="P65" s="29" t="str"/>
      <x:c r="Q65" s="29" t="str"/>
      <x:c r="R65" s="29" t="str"/>
      <x:c r="S65" s="29" t="str"/>
      <x:c r="T65" s="29" t="str"/>
      <x:c r="U65" s="29" t="str"/>
    </x:row>
    <x:row r="66" ht="34" customHeight="1">
      <x:c r="A66" s="29" t="str"/>
      <x:c r="B66" s="29" t="str"/>
      <x:c r="C66" s="29" t="str"/>
      <x:c r="D66" s="29" t="str"/>
      <x:c r="E66" s="29" t="str"/>
      <x:c r="F66" s="29" t="str"/>
      <x:c r="G66" s="29" t="str"/>
      <x:c r="H66" s="29" t="str"/>
      <x:c r="I66" s="29" t="str"/>
      <x:c r="J66" s="29" t="str"/>
      <x:c r="K66" s="29" t="str"/>
      <x:c r="L66" s="29" t="str"/>
      <x:c r="M66" s="29" t="str"/>
      <x:c r="N66" s="29" t="str"/>
      <x:c r="O66" s="29" t="str"/>
      <x:c r="P66" s="29" t="str"/>
      <x:c r="Q66" s="29" t="str"/>
      <x:c r="R66" s="29" t="str"/>
      <x:c r="S66" s="29" t="str"/>
      <x:c r="T66" s="29" t="str"/>
      <x:c r="U66" s="29" t="str"/>
    </x:row>
    <x:row r="67" ht="34" customHeight="1">
      <x:c r="A67" s="29" t="str"/>
      <x:c r="B67" s="29" t="str"/>
      <x:c r="C67" s="29" t="str"/>
      <x:c r="D67" s="29" t="str"/>
      <x:c r="E67" s="29" t="str"/>
      <x:c r="F67" s="29" t="str"/>
      <x:c r="G67" s="29" t="str"/>
      <x:c r="H67" s="29" t="str"/>
      <x:c r="I67" s="29" t="str"/>
      <x:c r="J67" s="29" t="str"/>
      <x:c r="K67" s="29" t="str"/>
      <x:c r="L67" s="29" t="str"/>
      <x:c r="M67" s="29" t="str"/>
      <x:c r="N67" s="29" t="str"/>
      <x:c r="O67" s="29" t="str"/>
      <x:c r="P67" s="29" t="str"/>
      <x:c r="Q67" s="29" t="str"/>
      <x:c r="R67" s="29" t="str"/>
      <x:c r="S67" s="29" t="str"/>
      <x:c r="T67" s="29" t="str"/>
      <x:c r="U67" s="29" t="str"/>
    </x:row>
    <x:row r="68" ht="34" customHeight="1">
      <x:c r="A68" s="29" t="str"/>
      <x:c r="B68" s="29" t="str"/>
      <x:c r="C68" s="29" t="str"/>
      <x:c r="D68" s="29" t="str"/>
      <x:c r="E68" s="29" t="str"/>
      <x:c r="F68" s="29" t="str"/>
      <x:c r="G68" s="29" t="str"/>
      <x:c r="H68" s="29" t="str"/>
      <x:c r="I68" s="29" t="str"/>
      <x:c r="J68" s="29" t="str"/>
      <x:c r="K68" s="29" t="str"/>
      <x:c r="L68" s="29" t="str"/>
      <x:c r="M68" s="29" t="str"/>
      <x:c r="N68" s="29" t="str"/>
      <x:c r="O68" s="29" t="str"/>
      <x:c r="P68" s="29" t="str"/>
      <x:c r="Q68" s="29" t="str"/>
      <x:c r="R68" s="29" t="str"/>
      <x:c r="S68" s="29" t="str"/>
      <x:c r="T68" s="29" t="str"/>
      <x:c r="U68" s="29" t="str"/>
    </x:row>
    <x:row r="69" ht="34" customHeight="1">
      <x:c r="A69" s="29" t="str"/>
      <x:c r="B69" s="29" t="str"/>
      <x:c r="C69" s="29" t="str"/>
      <x:c r="D69" s="29" t="str"/>
      <x:c r="E69" s="29" t="str"/>
      <x:c r="F69" s="29" t="str"/>
      <x:c r="G69" s="29" t="str"/>
      <x:c r="H69" s="29" t="str"/>
      <x:c r="I69" s="29" t="str"/>
      <x:c r="J69" s="29" t="str"/>
      <x:c r="K69" s="29" t="str"/>
      <x:c r="L69" s="29" t="str"/>
      <x:c r="M69" s="29" t="str"/>
      <x:c r="N69" s="29" t="str"/>
      <x:c r="O69" s="29" t="str"/>
      <x:c r="P69" s="29" t="str"/>
      <x:c r="Q69" s="29" t="str"/>
      <x:c r="R69" s="29" t="str"/>
      <x:c r="S69" s="29" t="str"/>
      <x:c r="T69" s="29" t="str"/>
      <x:c r="U69" s="29" t="str"/>
    </x:row>
    <x:row r="70" ht="34" customHeight="1">
      <x:c r="A70" s="29" t="str"/>
      <x:c r="B70" s="29" t="str"/>
      <x:c r="C70" s="29" t="str"/>
      <x:c r="D70" s="29" t="str"/>
      <x:c r="E70" s="29" t="str"/>
      <x:c r="F70" s="29" t="str"/>
      <x:c r="G70" s="29" t="str"/>
      <x:c r="H70" s="29" t="str"/>
      <x:c r="I70" s="29" t="str"/>
      <x:c r="J70" s="29" t="str"/>
      <x:c r="K70" s="29" t="str"/>
      <x:c r="L70" s="29" t="str"/>
      <x:c r="M70" s="29" t="str"/>
      <x:c r="N70" s="29" t="str"/>
      <x:c r="O70" s="29" t="str"/>
      <x:c r="P70" s="29" t="str"/>
      <x:c r="Q70" s="29" t="str"/>
      <x:c r="R70" s="29" t="str"/>
      <x:c r="S70" s="29" t="str"/>
      <x:c r="T70" s="29" t="str"/>
      <x:c r="U70" s="29" t="str"/>
    </x:row>
    <x:row r="71" ht="34" customHeight="1">
      <x:c r="A71" s="29" t="str"/>
      <x:c r="B71" s="29" t="str"/>
      <x:c r="C71" s="29" t="str"/>
      <x:c r="D71" s="29" t="str"/>
      <x:c r="E71" s="29" t="str"/>
      <x:c r="F71" s="29" t="str"/>
      <x:c r="G71" s="29" t="str"/>
      <x:c r="H71" s="29" t="str"/>
      <x:c r="I71" s="29" t="str"/>
      <x:c r="J71" s="29" t="str"/>
      <x:c r="K71" s="29" t="str"/>
      <x:c r="L71" s="29" t="str"/>
      <x:c r="M71" s="29" t="str"/>
      <x:c r="N71" s="29" t="str"/>
      <x:c r="O71" s="29" t="str"/>
      <x:c r="P71" s="29" t="str"/>
      <x:c r="Q71" s="29" t="str"/>
      <x:c r="R71" s="29" t="str"/>
      <x:c r="S71" s="29" t="str"/>
      <x:c r="T71" s="29" t="str"/>
      <x:c r="U71" s="29" t="str"/>
    </x:row>
    <x:row r="72" ht="34" customHeight="1">
      <x:c r="A72" s="29" t="str"/>
      <x:c r="B72" s="29" t="str"/>
      <x:c r="C72" s="29" t="str"/>
      <x:c r="D72" s="29" t="str"/>
      <x:c r="E72" s="29" t="str"/>
      <x:c r="F72" s="29" t="str"/>
      <x:c r="G72" s="29" t="str"/>
      <x:c r="H72" s="29" t="str"/>
      <x:c r="I72" s="29" t="str"/>
      <x:c r="J72" s="29" t="str"/>
      <x:c r="K72" s="29" t="str"/>
      <x:c r="L72" s="29" t="str"/>
      <x:c r="M72" s="29" t="str"/>
      <x:c r="N72" s="29" t="str"/>
      <x:c r="O72" s="29" t="str"/>
      <x:c r="P72" s="29" t="str"/>
      <x:c r="Q72" s="29" t="str"/>
      <x:c r="R72" s="29" t="str"/>
      <x:c r="S72" s="29" t="str"/>
      <x:c r="T72" s="29" t="str"/>
      <x:c r="U72" s="29" t="str"/>
    </x:row>
    <x:row r="73" ht="34" customHeight="1">
      <x:c r="A73" s="29" t="str"/>
      <x:c r="B73" s="29" t="str"/>
      <x:c r="C73" s="29" t="str"/>
      <x:c r="D73" s="29" t="str"/>
      <x:c r="E73" s="29" t="str"/>
      <x:c r="F73" s="29" t="str"/>
      <x:c r="G73" s="29" t="str"/>
      <x:c r="H73" s="29" t="str"/>
      <x:c r="I73" s="29" t="str"/>
      <x:c r="J73" s="29" t="str"/>
      <x:c r="K73" s="29" t="str"/>
      <x:c r="L73" s="29" t="str"/>
      <x:c r="M73" s="29" t="str"/>
      <x:c r="N73" s="29" t="str"/>
      <x:c r="O73" s="29" t="str"/>
      <x:c r="P73" s="29" t="str"/>
      <x:c r="Q73" s="29" t="str"/>
      <x:c r="R73" s="29" t="str"/>
      <x:c r="S73" s="29" t="str"/>
      <x:c r="T73" s="29" t="str"/>
      <x:c r="U73" s="29" t="str"/>
    </x:row>
    <x:row r="74" ht="34" customHeight="1">
      <x:c r="A74" s="29" t="str"/>
      <x:c r="B74" s="29" t="str"/>
      <x:c r="C74" s="29" t="str"/>
      <x:c r="D74" s="29" t="str"/>
      <x:c r="E74" s="29" t="str"/>
      <x:c r="F74" s="29" t="str"/>
      <x:c r="G74" s="29" t="str"/>
      <x:c r="H74" s="29" t="str"/>
      <x:c r="I74" s="29" t="str"/>
      <x:c r="J74" s="29" t="str"/>
      <x:c r="K74" s="29" t="str"/>
      <x:c r="L74" s="29" t="str"/>
      <x:c r="M74" s="29" t="str"/>
      <x:c r="N74" s="29" t="str"/>
      <x:c r="O74" s="29" t="str"/>
      <x:c r="P74" s="29" t="str"/>
      <x:c r="Q74" s="29" t="str"/>
      <x:c r="R74" s="29" t="str"/>
      <x:c r="S74" s="29" t="str"/>
      <x:c r="T74" s="29" t="str"/>
      <x:c r="U74" s="29" t="str"/>
    </x:row>
    <x:row r="75" ht="34" customHeight="1">
      <x:c r="A75" s="29" t="str"/>
      <x:c r="B75" s="29" t="str"/>
      <x:c r="C75" s="29" t="str"/>
      <x:c r="D75" s="29" t="str"/>
      <x:c r="E75" s="29" t="str"/>
      <x:c r="F75" s="29" t="str"/>
      <x:c r="G75" s="29" t="str"/>
      <x:c r="H75" s="29" t="str"/>
      <x:c r="I75" s="29" t="str"/>
      <x:c r="J75" s="29" t="str"/>
      <x:c r="K75" s="29" t="str"/>
      <x:c r="L75" s="29" t="str"/>
      <x:c r="M75" s="29" t="str"/>
      <x:c r="N75" s="29" t="str"/>
      <x:c r="O75" s="29" t="str"/>
      <x:c r="P75" s="29" t="str"/>
      <x:c r="Q75" s="29" t="str"/>
      <x:c r="R75" s="29" t="str"/>
      <x:c r="S75" s="29" t="str"/>
      <x:c r="T75" s="29" t="str"/>
      <x:c r="U75" s="29" t="str"/>
    </x:row>
    <x:row r="76" ht="34" customHeight="1">
      <x:c r="A76" s="29" t="str"/>
      <x:c r="B76" s="29" t="str"/>
      <x:c r="C76" s="29" t="str"/>
      <x:c r="D76" s="29" t="str"/>
      <x:c r="E76" s="29" t="str"/>
      <x:c r="F76" s="29" t="str"/>
      <x:c r="G76" s="29" t="str"/>
      <x:c r="H76" s="29" t="str"/>
      <x:c r="I76" s="29" t="str"/>
      <x:c r="J76" s="29" t="str"/>
      <x:c r="K76" s="29" t="str"/>
      <x:c r="L76" s="29" t="str"/>
      <x:c r="M76" s="29" t="str"/>
      <x:c r="N76" s="29" t="str"/>
      <x:c r="O76" s="29" t="str"/>
      <x:c r="P76" s="29" t="str"/>
      <x:c r="Q76" s="29" t="str"/>
      <x:c r="R76" s="29" t="str"/>
      <x:c r="S76" s="29" t="str"/>
      <x:c r="T76" s="29" t="str"/>
      <x:c r="U76" s="29" t="str"/>
    </x:row>
    <x:row r="77" ht="34" customHeight="1">
      <x:c r="A77" s="29" t="str"/>
      <x:c r="B77" s="29" t="str"/>
      <x:c r="C77" s="29" t="str"/>
      <x:c r="D77" s="29" t="str"/>
      <x:c r="E77" s="29" t="str"/>
      <x:c r="F77" s="29" t="str"/>
      <x:c r="G77" s="29" t="str"/>
      <x:c r="H77" s="29" t="str"/>
      <x:c r="I77" s="29" t="str"/>
      <x:c r="J77" s="29" t="str"/>
      <x:c r="K77" s="29" t="str"/>
      <x:c r="L77" s="29" t="str"/>
      <x:c r="M77" s="29" t="str"/>
      <x:c r="N77" s="29" t="str"/>
      <x:c r="O77" s="29" t="str"/>
      <x:c r="P77" s="29" t="str"/>
      <x:c r="Q77" s="29" t="str"/>
      <x:c r="R77" s="29" t="str"/>
      <x:c r="S77" s="29" t="str"/>
      <x:c r="T77" s="29" t="str"/>
      <x:c r="U77" s="29" t="str"/>
    </x:row>
    <x:row r="78" ht="34" customHeight="1">
      <x:c r="A78" s="29" t="str"/>
      <x:c r="B78" s="29" t="str"/>
      <x:c r="C78" s="29" t="str"/>
      <x:c r="D78" s="29" t="str"/>
      <x:c r="E78" s="29" t="str"/>
      <x:c r="F78" s="29" t="str"/>
      <x:c r="G78" s="29" t="str"/>
      <x:c r="H78" s="29" t="str"/>
      <x:c r="I78" s="29" t="str"/>
      <x:c r="J78" s="29" t="str"/>
      <x:c r="K78" s="29" t="str"/>
      <x:c r="L78" s="29" t="str"/>
      <x:c r="M78" s="29" t="str"/>
      <x:c r="N78" s="29" t="str"/>
      <x:c r="O78" s="29" t="str"/>
      <x:c r="P78" s="29" t="str"/>
      <x:c r="Q78" s="29" t="str"/>
      <x:c r="R78" s="29" t="str"/>
      <x:c r="S78" s="29" t="str"/>
      <x:c r="T78" s="29" t="str"/>
      <x:c r="U78" s="29" t="str"/>
    </x:row>
    <x:row r="79" ht="34" customHeight="1">
      <x:c r="A79" s="29" t="str"/>
      <x:c r="B79" s="29" t="str"/>
      <x:c r="C79" s="29" t="str"/>
      <x:c r="D79" s="29" t="str"/>
      <x:c r="E79" s="29" t="str"/>
      <x:c r="F79" s="29" t="str"/>
      <x:c r="G79" s="29" t="str"/>
      <x:c r="H79" s="29" t="str"/>
      <x:c r="I79" s="29" t="str"/>
      <x:c r="J79" s="29" t="str"/>
      <x:c r="K79" s="29" t="str"/>
      <x:c r="L79" s="29" t="str"/>
      <x:c r="M79" s="29" t="str"/>
      <x:c r="N79" s="29" t="str"/>
      <x:c r="O79" s="29" t="str"/>
      <x:c r="P79" s="29" t="str"/>
      <x:c r="Q79" s="29" t="str"/>
      <x:c r="R79" s="29" t="str"/>
      <x:c r="S79" s="29" t="str"/>
      <x:c r="T79" s="29" t="str"/>
      <x:c r="U79" s="29" t="str"/>
    </x:row>
    <x:row r="80" ht="34" customHeight="1">
      <x:c r="A80" s="29" t="str"/>
      <x:c r="B80" s="29" t="str"/>
      <x:c r="C80" s="29" t="str"/>
      <x:c r="D80" s="29" t="str"/>
      <x:c r="E80" s="29" t="str"/>
      <x:c r="F80" s="29" t="str"/>
      <x:c r="G80" s="29" t="str"/>
      <x:c r="H80" s="29" t="str"/>
      <x:c r="I80" s="29" t="str"/>
      <x:c r="J80" s="29" t="str"/>
      <x:c r="K80" s="29" t="str"/>
      <x:c r="L80" s="29" t="str"/>
      <x:c r="M80" s="29" t="str"/>
      <x:c r="N80" s="29" t="str"/>
      <x:c r="O80" s="29" t="str"/>
      <x:c r="P80" s="29" t="str"/>
      <x:c r="Q80" s="29" t="str"/>
      <x:c r="R80" s="29" t="str"/>
      <x:c r="S80" s="29" t="str"/>
      <x:c r="T80" s="29" t="str"/>
      <x:c r="U80" s="29" t="str"/>
    </x:row>
    <x:row r="81" ht="34" customHeight="1">
      <x:c r="A81" s="29" t="str"/>
      <x:c r="B81" s="29" t="str"/>
      <x:c r="C81" s="29" t="str"/>
      <x:c r="D81" s="29" t="str"/>
      <x:c r="E81" s="29" t="str"/>
      <x:c r="F81" s="29" t="str"/>
      <x:c r="G81" s="29" t="str"/>
      <x:c r="H81" s="29" t="str"/>
      <x:c r="I81" s="29" t="str"/>
      <x:c r="J81" s="29" t="str"/>
      <x:c r="K81" s="29" t="str"/>
      <x:c r="L81" s="29" t="str"/>
      <x:c r="M81" s="29" t="str"/>
      <x:c r="N81" s="29" t="str"/>
      <x:c r="O81" s="29" t="str"/>
      <x:c r="P81" s="29" t="str"/>
      <x:c r="Q81" s="29" t="str"/>
      <x:c r="R81" s="29" t="str"/>
      <x:c r="S81" s="29" t="str"/>
      <x:c r="T81" s="29" t="str"/>
      <x:c r="U81" s="29" t="str"/>
    </x:row>
    <x:row r="82" ht="34" customHeight="1">
      <x:c r="A82" s="29" t="str"/>
      <x:c r="B82" s="29" t="str"/>
      <x:c r="C82" s="29" t="str"/>
      <x:c r="D82" s="29" t="str"/>
      <x:c r="E82" s="29" t="str"/>
      <x:c r="F82" s="29" t="str"/>
      <x:c r="G82" s="29" t="str"/>
      <x:c r="H82" s="29" t="str"/>
      <x:c r="I82" s="29" t="str"/>
      <x:c r="J82" s="29" t="str"/>
      <x:c r="K82" s="29" t="str"/>
      <x:c r="L82" s="29" t="str"/>
      <x:c r="M82" s="29" t="str"/>
      <x:c r="N82" s="29" t="str"/>
      <x:c r="O82" s="29" t="str"/>
      <x:c r="P82" s="29" t="str"/>
      <x:c r="Q82" s="29" t="str"/>
      <x:c r="R82" s="29" t="str"/>
      <x:c r="S82" s="29" t="str"/>
      <x:c r="T82" s="29" t="str"/>
      <x:c r="U82" s="29" t="str"/>
    </x:row>
    <x:row r="83" ht="34" customHeight="1">
      <x:c r="A83" s="29" t="str"/>
      <x:c r="B83" s="29" t="str"/>
      <x:c r="C83" s="29" t="str"/>
      <x:c r="D83" s="29" t="str"/>
      <x:c r="E83" s="29" t="str"/>
      <x:c r="F83" s="29" t="str"/>
      <x:c r="G83" s="29" t="str"/>
      <x:c r="H83" s="29" t="str"/>
      <x:c r="I83" s="29" t="str"/>
      <x:c r="J83" s="29" t="str"/>
      <x:c r="K83" s="29" t="str"/>
      <x:c r="L83" s="29" t="str"/>
      <x:c r="M83" s="29" t="str"/>
      <x:c r="N83" s="29" t="str"/>
      <x:c r="O83" s="29" t="str"/>
      <x:c r="P83" s="29" t="str"/>
      <x:c r="Q83" s="29" t="str"/>
      <x:c r="R83" s="29" t="str"/>
      <x:c r="S83" s="29" t="str"/>
      <x:c r="T83" s="29" t="str"/>
      <x:c r="U83" s="29" t="str"/>
    </x:row>
    <x:row r="84" ht="34" customHeight="1">
      <x:c r="A84" s="29" t="str"/>
      <x:c r="B84" s="29" t="str"/>
      <x:c r="C84" s="29" t="str"/>
      <x:c r="D84" s="29" t="str"/>
      <x:c r="E84" s="29" t="str"/>
      <x:c r="F84" s="29" t="str"/>
      <x:c r="G84" s="29" t="str"/>
      <x:c r="H84" s="29" t="str"/>
      <x:c r="I84" s="29" t="str"/>
      <x:c r="J84" s="29" t="str"/>
      <x:c r="K84" s="29" t="str"/>
      <x:c r="L84" s="29" t="str"/>
      <x:c r="M84" s="29" t="str"/>
      <x:c r="N84" s="29" t="str"/>
      <x:c r="O84" s="29" t="str"/>
      <x:c r="P84" s="29" t="str"/>
      <x:c r="Q84" s="29" t="str"/>
      <x:c r="R84" s="29" t="str"/>
      <x:c r="S84" s="29" t="str"/>
      <x:c r="T84" s="29" t="str"/>
      <x:c r="U84" s="29" t="str"/>
    </x:row>
    <x:row r="85" ht="34" customHeight="1">
      <x:c r="A85" s="29" t="str"/>
      <x:c r="B85" s="29" t="str"/>
      <x:c r="C85" s="29" t="str"/>
      <x:c r="D85" s="29" t="str"/>
      <x:c r="E85" s="29" t="str"/>
      <x:c r="F85" s="29" t="str"/>
      <x:c r="G85" s="29" t="str"/>
      <x:c r="H85" s="29" t="str"/>
      <x:c r="I85" s="29" t="str"/>
      <x:c r="J85" s="29" t="str"/>
      <x:c r="K85" s="29" t="str"/>
      <x:c r="L85" s="29" t="str"/>
      <x:c r="M85" s="29" t="str"/>
      <x:c r="N85" s="29" t="str"/>
      <x:c r="O85" s="29" t="str"/>
      <x:c r="P85" s="29" t="str"/>
      <x:c r="Q85" s="29" t="str"/>
      <x:c r="R85" s="29" t="str"/>
      <x:c r="S85" s="29" t="str"/>
      <x:c r="T85" s="29" t="str"/>
      <x:c r="U85" s="29" t="str"/>
    </x:row>
    <x:row r="86" ht="34" customHeight="1">
      <x:c r="A86" s="29" t="str"/>
      <x:c r="B86" s="29" t="str"/>
      <x:c r="C86" s="29" t="str"/>
      <x:c r="D86" s="29" t="str"/>
      <x:c r="E86" s="29" t="str"/>
      <x:c r="F86" s="29" t="str"/>
      <x:c r="G86" s="29" t="str"/>
      <x:c r="H86" s="29" t="str"/>
      <x:c r="I86" s="29" t="str"/>
      <x:c r="J86" s="29" t="str"/>
      <x:c r="K86" s="29" t="str"/>
      <x:c r="L86" s="29" t="str"/>
      <x:c r="M86" s="29" t="str"/>
      <x:c r="N86" s="29" t="str"/>
      <x:c r="O86" s="29" t="str"/>
      <x:c r="P86" s="29" t="str"/>
      <x:c r="Q86" s="29" t="str"/>
      <x:c r="R86" s="29" t="str"/>
      <x:c r="S86" s="29" t="str"/>
      <x:c r="T86" s="29" t="str"/>
      <x:c r="U86" s="29" t="str"/>
    </x:row>
    <x:row r="87" ht="34" customHeight="1">
      <x:c r="A87" s="29" t="str"/>
      <x:c r="B87" s="29" t="str"/>
      <x:c r="C87" s="29" t="str"/>
      <x:c r="D87" s="29" t="str"/>
      <x:c r="E87" s="29" t="str"/>
      <x:c r="F87" s="29" t="str"/>
      <x:c r="G87" s="29" t="str"/>
      <x:c r="H87" s="29" t="str"/>
      <x:c r="I87" s="29" t="str"/>
      <x:c r="J87" s="29" t="str"/>
      <x:c r="K87" s="29" t="str"/>
      <x:c r="L87" s="29" t="str"/>
      <x:c r="M87" s="29" t="str"/>
      <x:c r="N87" s="29" t="str"/>
      <x:c r="O87" s="29" t="str"/>
      <x:c r="P87" s="29" t="str"/>
      <x:c r="Q87" s="29" t="str"/>
      <x:c r="R87" s="29" t="str"/>
      <x:c r="S87" s="29" t="str"/>
      <x:c r="T87" s="29" t="str"/>
      <x:c r="U87" s="29" t="str"/>
    </x:row>
    <x:row r="88" ht="34" customHeight="1">
      <x:c r="A88" s="29" t="str"/>
      <x:c r="B88" s="29" t="str"/>
      <x:c r="C88" s="29" t="str"/>
      <x:c r="D88" s="29" t="str"/>
      <x:c r="E88" s="29" t="str"/>
      <x:c r="F88" s="29" t="str"/>
      <x:c r="G88" s="29" t="str"/>
      <x:c r="H88" s="29" t="str"/>
      <x:c r="I88" s="29" t="str"/>
      <x:c r="J88" s="29" t="str"/>
      <x:c r="K88" s="29" t="str"/>
      <x:c r="L88" s="29" t="str"/>
      <x:c r="M88" s="29" t="str"/>
      <x:c r="N88" s="29" t="str"/>
      <x:c r="O88" s="29" t="str"/>
      <x:c r="P88" s="29" t="str"/>
      <x:c r="Q88" s="29" t="str"/>
      <x:c r="R88" s="29" t="str"/>
      <x:c r="S88" s="29" t="str"/>
      <x:c r="T88" s="29" t="str"/>
      <x:c r="U88" s="29" t="str"/>
    </x:row>
    <x:row r="89" ht="34" customHeight="1">
      <x:c r="A89" s="29" t="str"/>
      <x:c r="B89" s="29" t="str"/>
      <x:c r="C89" s="29" t="str"/>
      <x:c r="D89" s="29" t="str"/>
      <x:c r="E89" s="29" t="str"/>
      <x:c r="F89" s="29" t="str"/>
      <x:c r="G89" s="29" t="str"/>
      <x:c r="H89" s="29" t="str"/>
      <x:c r="I89" s="29" t="str"/>
      <x:c r="J89" s="29" t="str"/>
      <x:c r="K89" s="29" t="str"/>
      <x:c r="L89" s="29" t="str"/>
      <x:c r="M89" s="29" t="str"/>
      <x:c r="N89" s="29" t="str"/>
      <x:c r="O89" s="29" t="str"/>
      <x:c r="P89" s="29" t="str"/>
      <x:c r="Q89" s="29" t="str"/>
      <x:c r="R89" s="29" t="str"/>
      <x:c r="S89" s="29" t="str"/>
      <x:c r="T89" s="29" t="str"/>
      <x:c r="U89" s="29" t="str"/>
    </x:row>
    <x:row r="90" ht="34" customHeight="1">
      <x:c r="A90" s="29" t="str"/>
      <x:c r="B90" s="29" t="str"/>
      <x:c r="C90" s="29" t="str"/>
      <x:c r="D90" s="29" t="str"/>
      <x:c r="E90" s="29" t="str"/>
      <x:c r="F90" s="29" t="str"/>
      <x:c r="G90" s="29" t="str"/>
      <x:c r="H90" s="29" t="str"/>
      <x:c r="I90" s="29" t="str"/>
      <x:c r="J90" s="29" t="str"/>
      <x:c r="K90" s="29" t="str"/>
      <x:c r="L90" s="29" t="str"/>
      <x:c r="M90" s="29" t="str"/>
      <x:c r="N90" s="29" t="str"/>
      <x:c r="O90" s="29" t="str"/>
      <x:c r="P90" s="29" t="str"/>
      <x:c r="Q90" s="29" t="str"/>
      <x:c r="R90" s="29" t="str"/>
      <x:c r="S90" s="29" t="str"/>
      <x:c r="T90" s="29" t="str"/>
      <x:c r="U90" s="29" t="str"/>
    </x:row>
    <x:row r="91" ht="34" customHeight="1">
      <x:c r="A91" s="29" t="str"/>
      <x:c r="B91" s="29" t="str"/>
      <x:c r="C91" s="29" t="str"/>
      <x:c r="D91" s="29" t="str"/>
      <x:c r="E91" s="29" t="str"/>
      <x:c r="F91" s="29" t="str"/>
      <x:c r="G91" s="29" t="str"/>
      <x:c r="H91" s="29" t="str"/>
      <x:c r="I91" s="29" t="str"/>
      <x:c r="J91" s="29" t="str"/>
      <x:c r="K91" s="29" t="str"/>
      <x:c r="L91" s="29" t="str"/>
      <x:c r="M91" s="29" t="str"/>
      <x:c r="N91" s="29" t="str"/>
      <x:c r="O91" s="29" t="str"/>
      <x:c r="P91" s="29" t="str"/>
      <x:c r="Q91" s="29" t="str"/>
      <x:c r="R91" s="29" t="str"/>
      <x:c r="S91" s="29" t="str"/>
      <x:c r="T91" s="29" t="str"/>
      <x:c r="U91" s="29" t="str"/>
    </x:row>
    <x:row r="92" ht="34" customHeight="1">
      <x:c r="A92" s="29" t="str"/>
      <x:c r="B92" s="29" t="str"/>
      <x:c r="C92" s="29" t="str"/>
      <x:c r="D92" s="29" t="str"/>
      <x:c r="E92" s="29" t="str"/>
      <x:c r="F92" s="29" t="str"/>
      <x:c r="G92" s="29" t="str"/>
      <x:c r="H92" s="29" t="str"/>
      <x:c r="I92" s="29" t="str"/>
      <x:c r="J92" s="29" t="str"/>
      <x:c r="K92" s="29" t="str"/>
      <x:c r="L92" s="29" t="str"/>
      <x:c r="M92" s="29" t="str"/>
      <x:c r="N92" s="29" t="str"/>
      <x:c r="O92" s="29" t="str"/>
      <x:c r="P92" s="29" t="str"/>
      <x:c r="Q92" s="29" t="str"/>
      <x:c r="R92" s="29" t="str"/>
      <x:c r="S92" s="29" t="str"/>
      <x:c r="T92" s="29" t="str"/>
      <x:c r="U92" s="29" t="str"/>
    </x:row>
    <x:row r="93" ht="34" customHeight="1">
      <x:c r="A93" s="29" t="str"/>
      <x:c r="B93" s="29" t="str"/>
      <x:c r="C93" s="29" t="str"/>
      <x:c r="D93" s="29" t="str"/>
      <x:c r="E93" s="29" t="str"/>
      <x:c r="F93" s="29" t="str"/>
      <x:c r="G93" s="29" t="str"/>
      <x:c r="H93" s="29" t="str"/>
      <x:c r="I93" s="29" t="str"/>
      <x:c r="J93" s="29" t="str"/>
      <x:c r="K93" s="29" t="str"/>
      <x:c r="L93" s="29" t="str"/>
      <x:c r="M93" s="29" t="str"/>
      <x:c r="N93" s="29" t="str"/>
      <x:c r="O93" s="29" t="str"/>
      <x:c r="P93" s="29" t="str"/>
      <x:c r="Q93" s="29" t="str"/>
      <x:c r="R93" s="29" t="str"/>
      <x:c r="S93" s="29" t="str"/>
      <x:c r="T93" s="29" t="str"/>
      <x:c r="U93" s="29" t="str"/>
    </x:row>
    <x:row r="94" ht="34" customHeight="1">
      <x:c r="A94" s="29" t="str"/>
      <x:c r="B94" s="29" t="str"/>
      <x:c r="C94" s="29" t="str"/>
      <x:c r="D94" s="29" t="str"/>
      <x:c r="E94" s="29" t="str"/>
      <x:c r="F94" s="29" t="str"/>
      <x:c r="G94" s="29" t="str"/>
      <x:c r="H94" s="29" t="str"/>
      <x:c r="I94" s="29" t="str"/>
      <x:c r="J94" s="29" t="str"/>
      <x:c r="K94" s="29" t="str"/>
      <x:c r="L94" s="29" t="str"/>
      <x:c r="M94" s="29" t="str"/>
      <x:c r="N94" s="29" t="str"/>
      <x:c r="O94" s="29" t="str"/>
      <x:c r="P94" s="29" t="str"/>
      <x:c r="Q94" s="29" t="str"/>
      <x:c r="R94" s="29" t="str"/>
      <x:c r="S94" s="29" t="str"/>
      <x:c r="T94" s="29" t="str"/>
      <x:c r="U94" s="29" t="str"/>
    </x:row>
    <x:row r="95" ht="34" customHeight="1">
      <x:c r="A95" s="29" t="str"/>
      <x:c r="B95" s="29" t="str"/>
      <x:c r="C95" s="29" t="str"/>
      <x:c r="D95" s="29" t="str"/>
      <x:c r="E95" s="29" t="str"/>
      <x:c r="F95" s="29" t="str"/>
      <x:c r="G95" s="29" t="str"/>
      <x:c r="H95" s="29" t="str"/>
      <x:c r="I95" s="29" t="str"/>
      <x:c r="J95" s="29" t="str"/>
      <x:c r="K95" s="29" t="str"/>
      <x:c r="L95" s="29" t="str"/>
      <x:c r="M95" s="29" t="str"/>
      <x:c r="N95" s="29" t="str"/>
      <x:c r="O95" s="29" t="str"/>
      <x:c r="P95" s="29" t="str"/>
      <x:c r="Q95" s="29" t="str"/>
      <x:c r="R95" s="29" t="str"/>
      <x:c r="S95" s="29" t="str"/>
      <x:c r="T95" s="29" t="str"/>
      <x:c r="U95" s="29" t="str"/>
    </x:row>
    <x:row r="96" ht="34" customHeight="1">
      <x:c r="A96" s="29" t="str"/>
      <x:c r="B96" s="29" t="str"/>
      <x:c r="C96" s="29" t="str"/>
      <x:c r="D96" s="29" t="str"/>
      <x:c r="E96" s="29" t="str"/>
      <x:c r="F96" s="29" t="str"/>
      <x:c r="G96" s="29" t="str"/>
      <x:c r="H96" s="29" t="str"/>
      <x:c r="I96" s="29" t="str"/>
      <x:c r="J96" s="29" t="str"/>
      <x:c r="K96" s="29" t="str"/>
      <x:c r="L96" s="29" t="str"/>
      <x:c r="M96" s="29" t="str"/>
      <x:c r="N96" s="29" t="str"/>
      <x:c r="O96" s="29" t="str"/>
      <x:c r="P96" s="29" t="str"/>
      <x:c r="Q96" s="29" t="str"/>
      <x:c r="R96" s="29" t="str"/>
      <x:c r="S96" s="29" t="str"/>
      <x:c r="T96" s="29" t="str"/>
      <x:c r="U96" s="29" t="str"/>
    </x:row>
    <x:row r="97" ht="34" customHeight="1">
      <x:c r="A97" s="29" t="str"/>
      <x:c r="B97" s="29" t="str"/>
      <x:c r="C97" s="29" t="str"/>
      <x:c r="D97" s="29" t="str"/>
      <x:c r="E97" s="29" t="str"/>
      <x:c r="F97" s="29" t="str"/>
      <x:c r="G97" s="29" t="str"/>
      <x:c r="H97" s="29" t="str"/>
      <x:c r="I97" s="29" t="str"/>
      <x:c r="J97" s="29" t="str"/>
      <x:c r="K97" s="29" t="str"/>
      <x:c r="L97" s="29" t="str"/>
      <x:c r="M97" s="29" t="str"/>
      <x:c r="N97" s="29" t="str"/>
      <x:c r="O97" s="29" t="str"/>
      <x:c r="P97" s="29" t="str"/>
      <x:c r="Q97" s="29" t="str"/>
      <x:c r="R97" s="29" t="str"/>
      <x:c r="S97" s="29" t="str"/>
      <x:c r="T97" s="29" t="str"/>
      <x:c r="U97" s="29" t="str"/>
    </x:row>
    <x:row r="98" ht="34" customHeight="1">
      <x:c r="A98" s="29" t="str"/>
      <x:c r="B98" s="29" t="str"/>
      <x:c r="C98" s="29" t="str"/>
      <x:c r="D98" s="29" t="str"/>
      <x:c r="E98" s="29" t="str"/>
      <x:c r="F98" s="29" t="str"/>
      <x:c r="G98" s="29" t="str"/>
      <x:c r="H98" s="29" t="str"/>
      <x:c r="I98" s="29" t="str"/>
      <x:c r="J98" s="29" t="str"/>
      <x:c r="K98" s="29" t="str"/>
      <x:c r="L98" s="29" t="str"/>
      <x:c r="M98" s="29" t="str"/>
      <x:c r="N98" s="29" t="str"/>
      <x:c r="O98" s="29" t="str"/>
      <x:c r="P98" s="29" t="str"/>
      <x:c r="Q98" s="29" t="str"/>
      <x:c r="R98" s="29" t="str"/>
      <x:c r="S98" s="29" t="str"/>
      <x:c r="T98" s="29" t="str"/>
      <x:c r="U98" s="29" t="str"/>
    </x:row>
    <x:row r="99" ht="34" customHeight="1">
      <x:c r="A99" s="29" t="str"/>
      <x:c r="B99" s="29" t="str"/>
      <x:c r="C99" s="29" t="str"/>
      <x:c r="D99" s="29" t="str"/>
      <x:c r="E99" s="29" t="str"/>
      <x:c r="F99" s="29" t="str"/>
      <x:c r="G99" s="29" t="str"/>
      <x:c r="H99" s="29" t="str"/>
      <x:c r="I99" s="29" t="str"/>
      <x:c r="J99" s="29" t="str"/>
      <x:c r="K99" s="29" t="str"/>
      <x:c r="L99" s="29" t="str"/>
      <x:c r="M99" s="29" t="str"/>
      <x:c r="N99" s="29" t="str"/>
      <x:c r="O99" s="29" t="str"/>
      <x:c r="P99" s="29" t="str"/>
      <x:c r="Q99" s="29" t="str"/>
      <x:c r="R99" s="29" t="str"/>
      <x:c r="S99" s="29" t="str"/>
      <x:c r="T99" s="29" t="str"/>
      <x:c r="U99" s="29" t="str"/>
    </x:row>
    <x:row r="100" ht="34" customHeight="1">
      <x:c r="A100" s="29" t="str"/>
      <x:c r="B100" s="29" t="str"/>
      <x:c r="C100" s="29" t="str"/>
      <x:c r="D100" s="29" t="str"/>
      <x:c r="E100" s="29" t="str"/>
      <x:c r="F100" s="29" t="str"/>
      <x:c r="G100" s="29" t="str"/>
      <x:c r="H100" s="29" t="str"/>
      <x:c r="I100" s="29" t="str"/>
      <x:c r="J100" s="29" t="str"/>
      <x:c r="K100" s="29" t="str"/>
      <x:c r="L100" s="29" t="str"/>
      <x:c r="M100" s="29" t="str"/>
      <x:c r="N100" s="29" t="str"/>
      <x:c r="O100" s="29" t="str"/>
      <x:c r="P100" s="29" t="str"/>
      <x:c r="Q100" s="29" t="str"/>
      <x:c r="R100" s="29" t="str"/>
      <x:c r="S100" s="29" t="str"/>
      <x:c r="T100" s="29" t="str"/>
      <x:c r="U100" s="29" t="str"/>
    </x:row>
    <x:row r="101" ht="34" customHeight="1">
      <x:c r="A101" s="29" t="str"/>
      <x:c r="B101" s="29" t="str"/>
      <x:c r="C101" s="29" t="str"/>
      <x:c r="D101" s="29" t="str"/>
      <x:c r="E101" s="29" t="str"/>
      <x:c r="F101" s="29" t="str"/>
      <x:c r="G101" s="29" t="str"/>
      <x:c r="H101" s="29" t="str"/>
      <x:c r="I101" s="29" t="str"/>
      <x:c r="J101" s="29" t="str"/>
      <x:c r="K101" s="29" t="str"/>
      <x:c r="L101" s="29" t="str"/>
      <x:c r="M101" s="29" t="str"/>
      <x:c r="N101" s="29" t="str"/>
      <x:c r="O101" s="29" t="str"/>
      <x:c r="P101" s="29" t="str"/>
      <x:c r="Q101" s="29" t="str"/>
      <x:c r="R101" s="29" t="str"/>
      <x:c r="S101" s="29" t="str"/>
      <x:c r="T101" s="29" t="str"/>
      <x:c r="U101" s="29" t="str"/>
    </x:row>
  </x:sheetData>
  <x:dataValidations count="3">
    <x:dataValidation type="list" sqref="L2:L101">
      <x:formula1>"Critical,High,Medium,Low,Informational,Unrated"</x:formula1>
    </x:dataValidation>
    <x:dataValidation type="list" sqref="Q2:Q101">
      <x:formula1>"Open,In Progress,Fixed - Pending Retest,Closed,Accepted Risk"</x:formula1>
    </x:dataValidation>
    <x:dataValidation type="list" sqref="T2:T101">
      <x:formula1>"Not Started,Retest Passed,Retest Failed,In Progress,Not Applicable"</x:formula1>
    </x:dataValidation>
  </x:dataValidations>
  <x:pageMargins left="0.7" right="0.7" top="0.75" bottom="0.75" header="0.3" footer="0.3"/>
  <x:tableParts count="1">
    <x:tablePart xmlns:r="http://schemas.openxmlformats.org/officeDocument/2006/relationships" r:id="R89f8e6cacd314766"/>
  </x:tableParts>
</x:worksheet>
</file>