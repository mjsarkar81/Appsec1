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1012be902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dc0fcc971e3f4a67"/>
    <x:sheet xmlns:r="http://schemas.openxmlformats.org/officeDocument/2006/relationships" name="Engine" sheetId="2" r:id="R043724a5ea8b470a"/>
    <x:sheet xmlns:r="http://schemas.openxmlformats.org/officeDocument/2006/relationships" name="Lookup" sheetId="3" r:id="Rc388c31c8fe548f7"/>
    <x:sheet xmlns:r="http://schemas.openxmlformats.org/officeDocument/2006/relationships" name="Metric Guide" sheetId="4" r:id="Rb425a74aac9e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@"/>
  </x:numFmts>
  <x:fonts count="4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17365D"/>
      <x:name val="Carlito"/>
    </x:font>
    <x:font>
      <x:b/>
      <x:sz val="13"/>
      <x:color rgb="FF1F2937"/>
      <x:name val="Carlito"/>
    </x:font>
    <x:font>
      <x:sz val="9"/>
      <x:color rgb="FF1F2937"/>
      <x:name val="Consolas"/>
    </x:font>
    <x:font>
      <x:sz val="9"/>
      <x:color rgb="FF334155"/>
      <x:name val="Carlito"/>
    </x:font>
    <x:font>
      <x:b/>
      <x:sz val="11"/>
      <x:color rgb="FF7F6000"/>
      <x:name val="Carlito"/>
    </x:font>
    <x:font>
      <x:sz val="9"/>
      <x:color rgb="FF475569"/>
      <x:name val="Carlito"/>
    </x:font>
    <x:font>
      <x:b/>
      <x:sz val="9"/>
      <x:color rgb="FF17365D"/>
      <x:name val="Carlito"/>
    </x:font>
    <x:font>
      <x:i/>
      <x:sz val="9"/>
      <x:color rgb="FF7F6000"/>
      <x:name val="Carlito"/>
    </x:font>
    <x:font>
      <x:b/>
      <x:sz val="10"/>
      <x:color rgb="FF333333"/>
      <x:name val="Carlito"/>
    </x:font>
    <x:font>
      <x:sz val="10"/>
      <x:color rgb="FF333333"/>
      <x:name val="Carlito"/>
    </x:font>
    <x:font>
      <x:i/>
      <x:sz val="10"/>
      <x:color rgb="FF333333"/>
      <x:name val="Carlito"/>
    </x:font>
    <x:font>
      <x:sz val="10"/>
      <x:color rgb="FF333333"/>
      <x:name val="Consolas"/>
    </x:font>
    <x:font>
      <x:b/>
      <x:sz val="21"/>
      <x:color rgb="FF222222"/>
      <x:name val="Carlito"/>
    </x:font>
    <x:font>
      <x:b/>
      <x:sz val="16"/>
      <x:color rgb="FF4B5057"/>
      <x:name val="Carlito"/>
    </x:font>
    <x:font>
      <x:sz val="16"/>
      <x:color rgb="FF4B5057"/>
      <x:name val="Carlito"/>
    </x:font>
    <x:font>
      <x:b/>
      <x:i/>
      <x:sz val="10"/>
      <x:color rgb="FFFFFFFF"/>
      <x:name val="Carlito"/>
    </x:font>
    <x:font>
      <x:b/>
      <x:sz val="10"/>
      <x:color rgb="FFFFFFFF"/>
      <x:name val="Carlito"/>
    </x:font>
    <x:font>
      <x:sz val="10"/>
      <x:color rgb="FF4F5965"/>
      <x:name val="Carlito"/>
    </x:font>
    <x:font>
      <x:b/>
      <x:sz val="10"/>
      <x:color rgb="FF4F5965"/>
      <x:name val="Carlito"/>
    </x:font>
    <x:font>
      <x:b/>
      <x:sz val="18"/>
      <x:color rgb="FF4B5157"/>
      <x:name val="Carlito"/>
    </x:font>
    <x:font>
      <x:sz val="10"/>
      <x:color rgb="FF7B7B7B"/>
      <x:name val="Carlito"/>
    </x:font>
    <x:font>
      <x:b/>
      <x:sz val="13"/>
      <x:color rgb="FF4B5157"/>
      <x:name val="Carlito"/>
    </x:font>
    <x:font>
      <x:sz val="9"/>
      <x:color rgb="FF777777"/>
      <x:name val="Carlito"/>
    </x:font>
    <x:font>
      <x:b/>
      <x:i/>
      <x:sz val="9"/>
      <x:color rgb="FF676767"/>
      <x:name val="Carlito"/>
    </x:font>
    <x:font>
      <x:i/>
      <x:sz val="9"/>
      <x:color rgb="FF676767"/>
      <x:name val="Carlito"/>
    </x:font>
    <x:font>
      <x:b/>
      <x:sz val="11"/>
      <x:color rgb="FFFFFFFF"/>
      <x:name val="Consolas"/>
    </x:font>
    <x:font>
      <x:b/>
      <x:sz val="10"/>
      <x:color rgb="FF555555"/>
      <x:name val="Carlito"/>
    </x:font>
    <x:font>
      <x:sz val="9"/>
      <x:color rgb="FF505050"/>
      <x:name val="Carlito"/>
    </x:font>
    <x:font>
      <x:b/>
      <x:sz val="10"/>
      <x:color rgb="FF27632A"/>
      <x:name val="Carlito"/>
    </x:font>
    <x:font>
      <x:sz val="9"/>
      <x:color rgb="FF666666"/>
      <x:name val="Carlito"/>
    </x:font>
    <x:font>
      <x:sz val="9"/>
      <x:color rgb="FFF1F1F1"/>
      <x:name val="Carlito"/>
    </x:font>
    <x:font>
      <x:b/>
      <x:sz val="9"/>
      <x:color rgb="FF505050"/>
      <x:name val="Carlito"/>
    </x:font>
    <x:font>
      <x:b/>
      <x:sz val="9"/>
      <x:color rgb="FF666666"/>
      <x:name val="Carlito"/>
    </x:font>
    <x:font>
      <x:b/>
      <x:sz val="9"/>
      <x:color rgb="FF686868"/>
      <x:name val="Carlito"/>
    </x:font>
    <x:font>
      <x:sz val="9"/>
      <x:color rgb="FF686868"/>
      <x:name val="Carlito"/>
    </x:font>
    <x:font>
      <x:b/>
      <x:sz val="9"/>
      <x:color rgb="FF1B6AA5"/>
      <x:name val="Carlito"/>
    </x:font>
    <x:font>
      <x:sz val="9"/>
      <x:color rgb="FF1B6AA5"/>
      <x:name val="Carlito"/>
    </x:font>
    <x:font>
      <x:b/>
      <x:sz val="8"/>
      <x:color rgb="FFFFFFFF"/>
      <x:name val="Carlito"/>
    </x:font>
    <x:font>
      <x:sz val="8"/>
      <x:color rgb="FFFFFF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8FAFC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008000"/>
      </x:patternFill>
    </x:fill>
    <x:fill>
      <x:patternFill patternType="solid">
        <x:fgColor rgb="FFF3F3F3"/>
      </x:patternFill>
    </x:fill>
    <x:fill>
      <x:patternFill patternType="solid">
        <x:fgColor rgb="FF666666"/>
      </x:patternFill>
    </x:fill>
    <x:fill>
      <x:patternFill patternType="solid">
        <x:fgColor rgb="FFE9E9E9"/>
      </x:patternFill>
    </x:fill>
    <x:fill>
      <x:patternFill patternType="solid">
        <x:fgColor rgb="FFF1F1F1"/>
      </x:patternFill>
    </x:fill>
    <x:fill>
      <x:patternFill patternType="solid">
        <x:fgColor rgb="FFE2F0D9"/>
      </x:patternFill>
    </x:fill>
    <x:fill>
      <x:patternFill patternType="solid">
        <x:fgColor rgb="FFF5F5F5"/>
      </x:patternFill>
    </x:fill>
  </x:fills>
  <x:borders count="11">
    <x:border/>
    <x:border/>
    <x:border/>
    <x:border/>
    <x:border/>
    <x:border/>
    <x:border/>
    <x:border/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3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8" fillId="9" borderId="2" xfId="0" applyNumberFormat="1" applyFont="1" applyFill="1" applyBorder="1" applyAlignment="1">
      <x:alignment vertical="center" wrapText="1"/>
    </x:xf>
    <x:xf numFmtId="0" fontId="8" fillId="9" borderId="4" xfId="0" applyNumberFormat="1" applyFont="1" applyFill="1" applyBorder="1" applyAlignment="1">
      <x:alignment vertic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0" fontId="8" fillId="9" borderId="3" xfId="0" applyNumberFormat="1" applyFont="1" applyFill="1" applyBorder="1" applyAlignment="1">
      <x:alignment vertical="center" wrapText="1"/>
    </x:xf>
    <x:xf numFmtId="0" fontId="8" fillId="9" borderId="5" xfId="0" applyNumberFormat="1" applyFont="1" applyFill="1" applyBorder="1" applyAlignment="1">
      <x:alignment vertical="center" wrapText="1"/>
    </x:xf>
    <x:xf numFmtId="0" fontId="8" fillId="9" borderId="5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/>
    </x:xf>
    <x:xf numFmtId="200" fontId="2" fillId="2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0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10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horizontal="left" vertical="center" wrapText="1"/>
    </x:xf>
    <x:xf numFmtId="200" fontId="2" fillId="11" borderId="0" xfId="0" applyNumberFormat="1" applyFont="1" applyFill="1" applyBorder="1" applyAlignment="1">
      <x:alignment horizontal="center" vertical="center"/>
    </x:xf>
    <x:xf numFmtId="0" fontId="4" fillId="11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horizontal="center" vertical="center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 applyAlignment="1">
      <x:alignment vertical="center" wrapText="1"/>
    </x:xf>
    <x:xf numFmtId="0" fontId="8" fillId="11" borderId="4" xfId="0" applyNumberFormat="1" applyFont="1" applyFill="1" applyBorder="1" applyAlignment="1">
      <x:alignment horizontal="center"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horizontal="left" vertical="center"/>
    </x:xf>
    <x:xf numFmtId="0" fontId="13" fillId="11" borderId="0" xfId="0" applyNumberFormat="1" applyFont="1" applyFill="1" applyBorder="1"/>
    <x:xf numFmtId="0" fontId="14" fillId="11" borderId="0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 applyAlignment="1">
      <x:alignment horizontal="left" vertical="center" wrapText="1"/>
    </x:xf>
    <x:xf numFmtId="200" fontId="12" fillId="11" borderId="0" xfId="0" applyNumberFormat="1" applyFont="1" applyFill="1" applyBorder="1" applyAlignment="1">
      <x:alignment horizontal="center" vertical="center"/>
    </x:xf>
    <x:xf numFmtId="0" fontId="12" fillId="11" borderId="0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 applyAlignment="1">
      <x:alignment horizontal="center" vertical="center"/>
    </x:xf>
    <x:xf numFmtId="0" fontId="12" fillId="11" borderId="0" xfId="0" applyNumberFormat="1" applyFont="1" applyFill="1" applyBorder="1" applyAlignment="1">
      <x:alignment horizontal="center" vertical="center" wrapText="1"/>
    </x:xf>
    <x:xf numFmtId="0" fontId="15" fillId="11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12" fillId="11" borderId="2" xfId="0" applyNumberFormat="1" applyFont="1" applyFill="1" applyBorder="1" applyAlignment="1">
      <x:alignment horizontal="center" vertical="center" wrapText="1"/>
    </x:xf>
    <x:xf numFmtId="0" fontId="13" fillId="11" borderId="2" xfId="0" applyNumberFormat="1" applyFont="1" applyFill="1" applyBorder="1" applyAlignment="1">
      <x:alignment vertical="center" wrapText="1"/>
    </x:xf>
    <x:xf numFmtId="0" fontId="12" fillId="11" borderId="4" xfId="0" applyNumberFormat="1" applyFont="1" applyFill="1" applyBorder="1" applyAlignment="1">
      <x:alignment horizontal="center" vertical="center" wrapText="1"/>
    </x:xf>
    <x:xf numFmtId="0" fontId="13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14" fillId="11" borderId="0" xfId="0" applyNumberFormat="1" applyFont="1" applyFill="1" applyBorder="1" applyAlignment="1">
      <x:alignment vertical="center" wrapText="1"/>
    </x:xf>
    <x:xf numFmtId="200" fontId="12" fillId="11" borderId="0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horizontal="left" vertical="center" wrapText="1"/>
    </x:xf>
    <x:xf numFmtId="0" fontId="16" fillId="11" borderId="0" xfId="0" applyNumberFormat="1" applyFont="1" applyFill="1" applyBorder="1" applyAlignment="1">
      <x:alignment horizontal="center" vertical="center" wrapText="1"/>
    </x:xf>
    <x:xf numFmtId="0" fontId="17" fillId="11" borderId="0" xfId="0" applyNumberFormat="1" applyFont="1" applyFill="1" applyBorder="1" applyAlignment="1">
      <x:alignment horizontal="left" vertical="center" wrapText="1"/>
    </x:xf>
    <x:xf numFmtId="0" fontId="18" fillId="11" borderId="0" xfId="0" applyNumberFormat="1" applyFont="1" applyFill="1" applyBorder="1" applyAlignment="1">
      <x:alignment vertical="center" wrapText="1"/>
    </x:xf>
    <x:xf numFmtId="0" fontId="18" fillId="11" borderId="0" xfId="0" applyNumberFormat="1" applyFont="1" applyFill="1" applyBorder="1" applyAlignment="1">
      <x:alignment horizontal="left" vertical="center" wrapText="1"/>
    </x:xf>
    <x:xf numFmtId="0" fontId="14" fillId="12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vertical="center" wrapText="1"/>
    </x:xf>
    <x:xf numFmtId="0" fontId="19" fillId="12" borderId="0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19" fillId="12" borderId="0" xfId="0" applyNumberFormat="1" applyFont="1" applyFill="1" applyBorder="1" applyAlignment="1">
      <x:alignment vertical="center" wrapText="0"/>
    </x:xf>
    <x:xf numFmtId="0" fontId="20" fillId="12" borderId="0" xfId="0" applyNumberFormat="1" applyFont="1" applyFill="1" applyBorder="1" applyAlignment="1">
      <x:alignment vertical="center" wrapText="0"/>
    </x:xf>
    <x:xf numFmtId="0" fontId="19" fillId="12" borderId="0" xfId="0" applyNumberFormat="1" applyFont="1" applyFill="1" applyBorder="1" applyAlignment="1">
      <x:alignment horizontal="left" vertical="center" wrapText="0"/>
    </x:xf>
    <x:xf numFmtId="0" fontId="20" fillId="12" borderId="0" xfId="0" applyNumberFormat="1" applyFont="1" applyFill="1" applyBorder="1" applyAlignment="1">
      <x:alignment horizontal="left" vertical="center" wrapText="0"/>
    </x:xf>
    <x:xf numFmtId="0" fontId="21" fillId="11" borderId="0" xfId="0" applyNumberFormat="1" applyFont="1" applyFill="1" applyBorder="1" applyAlignment="1">
      <x:alignment vertical="center" wrapText="1"/>
    </x:xf>
    <x:xf numFmtId="0" fontId="22" fillId="11" borderId="0" xfId="0" applyNumberFormat="1" applyFont="1" applyFill="1" applyBorder="1" applyAlignment="1">
      <x:alignment vertical="center" wrapText="1"/>
    </x:xf>
    <x:xf numFmtId="0" fontId="21" fillId="13" borderId="0" xfId="0" applyNumberFormat="1" applyFont="1" applyFill="1" applyBorder="1" applyAlignment="1">
      <x:alignment vertical="center" wrapText="1"/>
    </x:xf>
    <x:xf numFmtId="0" fontId="23" fillId="13" borderId="0" xfId="0" applyNumberFormat="1" applyFont="1" applyFill="1" applyBorder="1" applyAlignment="1">
      <x:alignment vertical="center" wrapText="1"/>
    </x:xf>
    <x:xf numFmtId="0" fontId="23" fillId="13" borderId="0" xfId="0" applyNumberFormat="1" applyFont="1" applyFill="1" applyBorder="1" applyAlignment="1">
      <x:alignment horizontal="center" vertical="center" wrapText="1"/>
    </x:xf>
    <x:xf numFmtId="0" fontId="24" fillId="11" borderId="0" xfId="0" applyNumberFormat="1" applyFont="1" applyFill="1" applyBorder="1" applyAlignment="1">
      <x:alignment vertical="center" wrapText="1"/>
    </x:xf>
    <x:xf numFmtId="0" fontId="24" fillId="11" borderId="0" xfId="0" applyNumberFormat="1" applyFont="1" applyFill="1" applyBorder="1" applyAlignment="1">
      <x:alignment horizontal="left" vertical="center" wrapText="1"/>
    </x:xf>
    <x:xf numFmtId="0" fontId="22" fillId="11" borderId="0" xfId="0" applyNumberFormat="1" applyFont="1" applyFill="1" applyBorder="1" applyAlignment="1">
      <x:alignment horizontal="center" vertical="center" wrapText="1"/>
    </x:xf>
    <x:xf numFmtId="0" fontId="25" fillId="13" borderId="0" xfId="0" applyNumberFormat="1" applyFont="1" applyFill="1" applyBorder="1" applyAlignment="1">
      <x:alignment vertical="center" wrapText="1"/>
    </x:xf>
    <x:xf numFmtId="0" fontId="25" fillId="13" borderId="0" xfId="0" applyNumberFormat="1" applyFont="1" applyFill="1" applyBorder="1" applyAlignment="1">
      <x:alignment horizontal="center" vertical="center" wrapText="1"/>
    </x:xf>
    <x:xf numFmtId="0" fontId="26" fillId="11" borderId="0" xfId="0" applyNumberFormat="1" applyFont="1" applyFill="1" applyBorder="1" applyAlignment="1">
      <x:alignment vertical="center" wrapText="1"/>
    </x:xf>
    <x:xf numFmtId="0" fontId="26" fillId="11" borderId="0" xfId="0" applyNumberFormat="1" applyFont="1" applyFill="1" applyBorder="1" applyAlignment="1">
      <x:alignment horizontal="center" vertical="center" wrapText="1"/>
    </x:xf>
    <x:xf numFmtId="0" fontId="27" fillId="11" borderId="0" xfId="0" applyNumberFormat="1" applyFont="1" applyFill="1" applyBorder="1" applyAlignment="1">
      <x:alignment horizontal="left" vertical="center" wrapText="1"/>
    </x:xf>
    <x:xf numFmtId="200" fontId="27" fillId="11" borderId="0" xfId="0" applyNumberFormat="1" applyFont="1" applyFill="1" applyBorder="1" applyAlignment="1">
      <x:alignment horizontal="center" vertical="center" wrapText="1"/>
    </x:xf>
    <x:xf numFmtId="0" fontId="27" fillId="11" borderId="0" xfId="0" applyNumberFormat="1" applyFont="1" applyFill="1" applyBorder="1" applyAlignment="1">
      <x:alignment vertical="center" wrapText="1"/>
    </x:xf>
    <x:xf numFmtId="0" fontId="27" fillId="11" borderId="0" xfId="0" applyNumberFormat="1" applyFont="1" applyFill="1" applyBorder="1" applyAlignment="1">
      <x:alignment horizontal="center" vertical="center" wrapText="1"/>
    </x:xf>
    <x:xf numFmtId="0" fontId="28" fillId="11" borderId="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vertical="center" wrapText="1"/>
    </x:xf>
    <x:xf numFmtId="0" fontId="15" fillId="14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0" fontId="29" fillId="14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29" fillId="14" borderId="0" xfId="0" applyNumberFormat="1" applyFont="1" applyFill="1" applyBorder="1" applyAlignment="1">
      <x:alignment horizontal="center" vertical="center" wrapText="1"/>
    </x:xf>
    <x:xf numFmtId="0" fontId="13" fillId="15" borderId="0" xfId="0" applyNumberFormat="1" applyFont="1" applyFill="1" applyBorder="1" applyAlignment="1">
      <x:alignment vertical="center" wrapText="1"/>
    </x:xf>
    <x:xf numFmtId="0" fontId="30" fillId="15" borderId="0" xfId="0" applyNumberFormat="1" applyFont="1" applyFill="1" applyBorder="1" applyAlignment="1">
      <x:alignment vertical="center" wrapText="1"/>
    </x:xf>
    <x:xf numFmtId="0" fontId="30" fillId="15" borderId="0" xfId="0" applyNumberFormat="1" applyFont="1" applyFill="1" applyBorder="1" applyAlignment="1">
      <x:alignment horizontal="center" vertical="center" wrapText="1"/>
    </x:xf>
    <x:xf numFmtId="0" fontId="12" fillId="15" borderId="2" xfId="0" applyNumberFormat="1" applyFont="1" applyFill="1" applyBorder="1" applyAlignment="1">
      <x:alignment horizontal="center" vertical="center" wrapText="1"/>
    </x:xf>
    <x:xf numFmtId="0" fontId="13" fillId="15" borderId="2" xfId="0" applyNumberFormat="1" applyFont="1" applyFill="1" applyBorder="1" applyAlignment="1">
      <x:alignment vertical="center" wrapText="1"/>
    </x:xf>
    <x:xf numFmtId="0" fontId="12" fillId="15" borderId="4" xfId="0" applyNumberFormat="1" applyFont="1" applyFill="1" applyBorder="1" applyAlignment="1">
      <x:alignment horizontal="center" vertical="center" wrapText="1"/>
    </x:xf>
    <x:xf numFmtId="0" fontId="30" fillId="15" borderId="2" xfId="0" applyNumberFormat="1" applyFont="1" applyFill="1" applyBorder="1" applyAlignment="1">
      <x:alignment horizontal="center" vertical="center" wrapText="1"/>
    </x:xf>
    <x:xf numFmtId="0" fontId="30" fillId="15" borderId="2" xfId="0" applyNumberFormat="1" applyFont="1" applyFill="1" applyBorder="1" applyAlignment="1">
      <x:alignment vertical="center" wrapText="1"/>
    </x:xf>
    <x:xf numFmtId="0" fontId="30" fillId="15" borderId="4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 applyAlignment="1">
      <x:alignment horizontal="center" vertical="center" wrapText="1"/>
    </x:xf>
    <x:xf numFmtId="0" fontId="12" fillId="14" borderId="2" xfId="0" applyNumberFormat="1" applyFont="1" applyFill="1" applyBorder="1" applyAlignment="1">
      <x:alignment horizontal="center" vertical="center" wrapText="1"/>
    </x:xf>
    <x:xf numFmtId="0" fontId="13" fillId="14" borderId="2" xfId="0" applyNumberFormat="1" applyFont="1" applyFill="1" applyBorder="1" applyAlignment="1">
      <x:alignment vertical="center" wrapText="1"/>
    </x:xf>
    <x:xf numFmtId="0" fontId="12" fillId="14" borderId="4" xfId="0" applyNumberFormat="1" applyFont="1" applyFill="1" applyBorder="1" applyAlignment="1">
      <x:alignment horizontal="center" vertical="center" wrapText="1"/>
    </x:xf>
    <x:xf numFmtId="0" fontId="1" fillId="14" borderId="2" xfId="0" applyNumberFormat="1" applyFont="1" applyFill="1" applyBorder="1" applyAlignment="1">
      <x:alignment horizontal="center" vertical="center" wrapText="1"/>
    </x:xf>
    <x:xf numFmtId="0" fontId="1" fillId="14" borderId="2" xfId="0" applyNumberFormat="1" applyFont="1" applyFill="1" applyBorder="1" applyAlignment="1">
      <x:alignment vertical="center" wrapText="1"/>
    </x:xf>
    <x:xf numFmtId="0" fontId="1" fillId="14" borderId="4" xfId="0" applyNumberFormat="1" applyFont="1" applyFill="1" applyBorder="1" applyAlignment="1">
      <x:alignment horizontal="center" vertical="center" wrapText="1"/>
    </x:xf>
    <x:xf numFmtId="0" fontId="12" fillId="14" borderId="0" xfId="0" applyNumberFormat="1" applyFont="1" applyFill="1" applyBorder="1" applyAlignment="1">
      <x:alignment horizontal="center" vertical="center" wrapText="1"/>
    </x:xf>
    <x:xf numFmtId="0" fontId="12" fillId="14" borderId="0" xfId="0" applyNumberFormat="1" applyFont="1" applyFill="1" applyBorder="1" applyAlignment="1">
      <x:alignment vertical="center" wrapText="1"/>
    </x:xf>
    <x:xf numFmtId="0" fontId="13" fillId="16" borderId="0" xfId="0" applyNumberFormat="1" applyFont="1" applyFill="1" applyBorder="1" applyAlignment="1">
      <x:alignment vertical="center" wrapText="1"/>
    </x:xf>
    <x:xf numFmtId="0" fontId="31" fillId="16" borderId="0" xfId="0" applyNumberFormat="1" applyFont="1" applyFill="1" applyBorder="1" applyAlignment="1">
      <x:alignment vertical="center" wrapText="1"/>
    </x:xf>
    <x:xf numFmtId="0" fontId="31" fillId="16" borderId="0" xfId="0" applyNumberFormat="1" applyFont="1" applyFill="1" applyBorder="1" applyAlignment="1">
      <x:alignment vertical="center" wrapText="0"/>
    </x:xf>
    <x:xf numFmtId="0" fontId="31" fillId="16" borderId="0" xfId="0" applyNumberFormat="1" applyFont="1" applyFill="1" applyBorder="1" applyAlignment="1">
      <x:alignment horizontal="right" vertical="center" wrapText="0"/>
    </x:xf>
    <x:xf numFmtId="0" fontId="13" fillId="17" borderId="0" xfId="0" applyNumberFormat="1" applyFont="1" applyFill="1" applyBorder="1" applyAlignment="1">
      <x:alignment vertical="center" wrapText="1"/>
    </x:xf>
    <x:xf numFmtId="0" fontId="32" fillId="17" borderId="0" xfId="0" applyNumberFormat="1" applyFont="1" applyFill="1" applyBorder="1" applyAlignment="1">
      <x:alignment vertical="center" wrapText="1"/>
    </x:xf>
    <x:xf numFmtId="0" fontId="32" fillId="17" borderId="0" xfId="0" applyNumberFormat="1" applyFont="1" applyFill="1" applyBorder="1" applyAlignment="1">
      <x:alignment vertical="center" wrapText="0"/>
    </x:xf>
    <x:xf numFmtId="0" fontId="32" fillId="17" borderId="0" xfId="0" applyNumberFormat="1" applyFont="1" applyFill="1" applyBorder="1" applyAlignment="1">
      <x:alignment horizontal="center" vertical="center" wrapText="0"/>
    </x:xf>
    <x:xf numFmtId="0" fontId="13" fillId="18" borderId="0" xfId="0" applyNumberFormat="1" applyFont="1" applyFill="1" applyBorder="1" applyAlignment="1">
      <x:alignment vertical="center" wrapText="1"/>
    </x:xf>
    <x:xf numFmtId="0" fontId="33" fillId="18" borderId="0" xfId="0" applyNumberFormat="1" applyFont="1" applyFill="1" applyBorder="1" applyAlignment="1">
      <x:alignment vertical="center" wrapText="1"/>
    </x:xf>
    <x:xf numFmtId="0" fontId="33" fillId="18" borderId="8" xfId="0" applyNumberFormat="1" applyFont="1" applyFill="1" applyBorder="1" applyAlignment="1">
      <x:alignment vertical="center" wrapText="1"/>
    </x:xf>
    <x:xf numFmtId="0" fontId="33" fillId="18" borderId="9" xfId="0" applyNumberFormat="1" applyFont="1" applyFill="1" applyBorder="1" applyAlignment="1">
      <x:alignment vertical="center" wrapText="1"/>
    </x:xf>
    <x:xf numFmtId="0" fontId="33" fillId="18" borderId="10" xfId="0" applyNumberFormat="1" applyFont="1" applyFill="1" applyBorder="1" applyAlignment="1">
      <x:alignment vertical="center" wrapText="1"/>
    </x:xf>
    <x:xf numFmtId="0" fontId="33" fillId="18" borderId="8" xfId="0" applyNumberFormat="1" applyFont="1" applyFill="1" applyBorder="1" applyAlignment="1">
      <x:alignment horizontal="center" vertical="center" wrapText="1"/>
    </x:xf>
    <x:xf numFmtId="0" fontId="33" fillId="18" borderId="9" xfId="0" applyNumberFormat="1" applyFont="1" applyFill="1" applyBorder="1" applyAlignment="1">
      <x:alignment horizontal="center" vertical="center" wrapText="1"/>
    </x:xf>
    <x:xf numFmtId="0" fontId="33" fillId="18" borderId="10" xfId="0" applyNumberFormat="1" applyFont="1" applyFill="1" applyBorder="1" applyAlignment="1">
      <x:alignment horizontal="center" vertical="center" wrapText="1"/>
    </x:xf>
    <x:xf numFmtId="0" fontId="33" fillId="16" borderId="10" xfId="0" applyNumberFormat="1" applyFont="1" applyFill="1" applyBorder="1" applyAlignment="1">
      <x:alignment horizontal="center" vertical="center" wrapText="1"/>
    </x:xf>
    <x:xf numFmtId="0" fontId="34" fillId="16" borderId="10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vertical="center" wrapText="1"/>
    </x:xf>
    <x:xf numFmtId="0" fontId="35" fillId="16" borderId="0" xfId="0" applyNumberFormat="1" applyFont="1" applyFill="1" applyBorder="1" applyAlignment="1">
      <x:alignment vertical="center" wrapText="1"/>
    </x:xf>
    <x:xf numFmtId="0" fontId="35" fillId="16" borderId="0" xfId="0" applyNumberFormat="1" applyFont="1" applyFill="1" applyBorder="1" applyAlignment="1">
      <x:alignment vertical="center" wrapText="0"/>
    </x:xf>
    <x:xf numFmtId="0" fontId="35" fillId="16" borderId="0" xfId="0" applyNumberFormat="1" applyFont="1" applyFill="1" applyBorder="1" applyAlignment="1">
      <x:alignment horizontal="right" vertical="center" wrapText="0"/>
    </x:xf>
    <x:xf numFmtId="0" fontId="12" fillId="17" borderId="0" xfId="0" applyNumberFormat="1" applyFont="1" applyFill="1" applyBorder="1" applyAlignment="1">
      <x:alignment vertical="center" wrapText="1"/>
    </x:xf>
    <x:xf numFmtId="0" fontId="12" fillId="18" borderId="0" xfId="0" applyNumberFormat="1" applyFont="1" applyFill="1" applyBorder="1" applyAlignment="1">
      <x:alignment vertical="center" wrapText="1"/>
    </x:xf>
    <x:xf numFmtId="0" fontId="36" fillId="18" borderId="0" xfId="0" applyNumberFormat="1" applyFont="1" applyFill="1" applyBorder="1" applyAlignment="1">
      <x:alignment vertical="center" wrapText="1"/>
    </x:xf>
    <x:xf numFmtId="0" fontId="36" fillId="18" borderId="8" xfId="0" applyNumberFormat="1" applyFont="1" applyFill="1" applyBorder="1" applyAlignment="1">
      <x:alignment vertical="center" wrapText="1"/>
    </x:xf>
    <x:xf numFmtId="0" fontId="36" fillId="18" borderId="9" xfId="0" applyNumberFormat="1" applyFont="1" applyFill="1" applyBorder="1" applyAlignment="1">
      <x:alignment vertical="center" wrapText="1"/>
    </x:xf>
    <x:xf numFmtId="0" fontId="36" fillId="18" borderId="8" xfId="0" applyNumberFormat="1" applyFont="1" applyFill="1" applyBorder="1" applyAlignment="1">
      <x:alignment horizontal="center" vertical="center" wrapText="1"/>
    </x:xf>
    <x:xf numFmtId="0" fontId="36" fillId="18" borderId="9" xfId="0" applyNumberFormat="1" applyFont="1" applyFill="1" applyBorder="1" applyAlignment="1">
      <x:alignment horizontal="center" vertical="center" wrapText="1"/>
    </x:xf>
    <x:xf numFmtId="0" fontId="33" fillId="16" borderId="9" xfId="0" applyNumberFormat="1" applyFont="1" applyFill="1" applyBorder="1" applyAlignment="1">
      <x:alignment horizontal="center" vertical="center" wrapText="1"/>
    </x:xf>
    <x:xf numFmtId="0" fontId="34" fillId="16" borderId="9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horizontal="center" vertical="center" wrapText="1"/>
    </x:xf>
    <x:xf numFmtId="0" fontId="35" fillId="16" borderId="0" xfId="0" applyNumberFormat="1" applyFont="1" applyFill="1" applyBorder="1" applyAlignment="1">
      <x:alignment horizontal="center" vertical="center" wrapText="1"/>
    </x:xf>
    <x:xf numFmtId="0" fontId="35" fillId="16" borderId="0" xfId="0" applyNumberFormat="1" applyFont="1" applyFill="1" applyBorder="1" applyAlignment="1">
      <x:alignment horizontal="center" vertical="center" wrapText="0"/>
    </x:xf>
    <x:xf numFmtId="0" fontId="12" fillId="17" borderId="0" xfId="0" applyNumberFormat="1" applyFont="1" applyFill="1" applyBorder="1" applyAlignment="1">
      <x:alignment horizontal="center" vertical="center" wrapText="1"/>
    </x:xf>
    <x:xf numFmtId="0" fontId="32" fillId="17" borderId="0" xfId="0" applyNumberFormat="1" applyFont="1" applyFill="1" applyBorder="1" applyAlignment="1">
      <x:alignment horizontal="center" vertical="center" wrapText="1"/>
    </x:xf>
    <x:xf numFmtId="0" fontId="12" fillId="18" borderId="0" xfId="0" applyNumberFormat="1" applyFont="1" applyFill="1" applyBorder="1" applyAlignment="1">
      <x:alignment horizontal="center" vertical="center" wrapText="1"/>
    </x:xf>
    <x:xf numFmtId="0" fontId="36" fillId="18" borderId="0" xfId="0" applyNumberFormat="1" applyFont="1" applyFill="1" applyBorder="1" applyAlignment="1">
      <x:alignment horizontal="center" vertical="center" wrapText="1"/>
    </x:xf>
    <x:xf numFmtId="0" fontId="12" fillId="16" borderId="2" xfId="0" applyNumberFormat="1" applyFont="1" applyFill="1" applyBorder="1" applyAlignment="1">
      <x:alignment horizontal="center" vertical="center" wrapText="1"/>
    </x:xf>
    <x:xf numFmtId="0" fontId="13" fillId="16" borderId="2" xfId="0" applyNumberFormat="1" applyFont="1" applyFill="1" applyBorder="1" applyAlignment="1">
      <x:alignment vertical="center" wrapText="1"/>
    </x:xf>
    <x:xf numFmtId="0" fontId="35" fillId="16" borderId="2" xfId="0" applyNumberFormat="1" applyFont="1" applyFill="1" applyBorder="1" applyAlignment="1">
      <x:alignment horizontal="center" vertical="center" wrapText="1"/>
    </x:xf>
    <x:xf numFmtId="0" fontId="31" fillId="16" borderId="2" xfId="0" applyNumberFormat="1" applyFont="1" applyFill="1" applyBorder="1" applyAlignment="1">
      <x:alignment vertical="center" wrapText="1"/>
    </x:xf>
    <x:xf numFmtId="0" fontId="35" fillId="16" borderId="2" xfId="0" applyNumberFormat="1" applyFont="1" applyFill="1" applyBorder="1" applyAlignment="1">
      <x:alignment horizontal="center" vertical="center" wrapText="0"/>
    </x:xf>
    <x:xf numFmtId="0" fontId="31" fillId="16" borderId="2" xfId="0" applyNumberFormat="1" applyFont="1" applyFill="1" applyBorder="1" applyAlignment="1">
      <x:alignment vertical="center" wrapText="0"/>
    </x:xf>
    <x:xf numFmtId="0" fontId="35" fillId="16" borderId="2" xfId="0" applyNumberFormat="1" applyFont="1" applyFill="1" applyBorder="1" applyAlignment="1">
      <x:alignment horizontal="right" vertical="center" wrapText="0"/>
    </x:xf>
    <x:xf numFmtId="0" fontId="31" fillId="16" borderId="2" xfId="0" applyNumberFormat="1" applyFont="1" applyFill="1" applyBorder="1" applyAlignment="1">
      <x:alignment horizontal="right" vertical="center" wrapText="0"/>
    </x:xf>
    <x:xf numFmtId="0" fontId="12" fillId="17" borderId="4" xfId="0" applyNumberFormat="1" applyFont="1" applyFill="1" applyBorder="1" applyAlignment="1">
      <x:alignment horizontal="center" vertical="center" wrapText="1"/>
    </x:xf>
    <x:xf numFmtId="0" fontId="32" fillId="17" borderId="4" xfId="0" applyNumberFormat="1" applyFont="1" applyFill="1" applyBorder="1" applyAlignment="1">
      <x:alignment horizontal="center" vertical="center" wrapText="1"/>
    </x:xf>
    <x:xf numFmtId="0" fontId="32" fillId="17" borderId="4" xfId="0" applyNumberFormat="1" applyFont="1" applyFill="1" applyBorder="1" applyAlignment="1">
      <x:alignment horizontal="center" vertical="center" wrapText="0"/>
    </x:xf>
    <x:xf numFmtId="0" fontId="13" fillId="18" borderId="2" xfId="0" applyNumberFormat="1" applyFont="1" applyFill="1" applyBorder="1" applyAlignment="1">
      <x:alignment vertical="center" wrapText="1"/>
    </x:xf>
    <x:xf numFmtId="0" fontId="33" fillId="18" borderId="2" xfId="0" applyNumberFormat="1" applyFont="1" applyFill="1" applyBorder="1" applyAlignment="1">
      <x:alignment vertical="center" wrapText="1"/>
    </x:xf>
    <x:xf numFmtId="0" fontId="37" fillId="11" borderId="2" xfId="0" applyNumberFormat="1" applyFont="1" applyFill="1" applyBorder="1" applyAlignment="1">
      <x:alignment horizontal="center" vertical="center" wrapText="1"/>
    </x:xf>
    <x:xf numFmtId="0" fontId="38" fillId="11" borderId="2" xfId="0" applyNumberFormat="1" applyFont="1" applyFill="1" applyBorder="1" applyAlignment="1">
      <x:alignment vertical="center" wrapText="1"/>
    </x:xf>
    <x:xf numFmtId="0" fontId="37" fillId="11" borderId="4" xfId="0" applyNumberFormat="1" applyFont="1" applyFill="1" applyBorder="1" applyAlignment="1">
      <x:alignment horizontal="center" vertical="center" wrapText="1"/>
    </x:xf>
    <x:xf numFmtId="0" fontId="38" fillId="11" borderId="0" xfId="0" applyNumberFormat="1" applyFont="1" applyFill="1" applyBorder="1" applyAlignment="1">
      <x:alignment vertical="center" wrapText="1"/>
    </x:xf>
    <x:xf numFmtId="0" fontId="37" fillId="11" borderId="0" xfId="0" applyNumberFormat="1" applyFont="1" applyFill="1" applyBorder="1" applyAlignment="1">
      <x:alignment horizontal="center" vertical="center" wrapText="1"/>
    </x:xf>
    <x:xf numFmtId="0" fontId="39" fillId="11" borderId="2" xfId="0" applyNumberFormat="1" applyFont="1" applyFill="1" applyBorder="1" applyAlignment="1">
      <x:alignment horizontal="center" vertical="center" wrapText="1"/>
    </x:xf>
    <x:xf numFmtId="0" fontId="40" fillId="11" borderId="2" xfId="0" applyNumberFormat="1" applyFont="1" applyFill="1" applyBorder="1" applyAlignment="1">
      <x:alignment vertical="center" wrapText="1"/>
    </x:xf>
    <x:xf numFmtId="0" fontId="39" fillId="11" borderId="4" xfId="0" applyNumberFormat="1" applyFont="1" applyFill="1" applyBorder="1" applyAlignment="1">
      <x:alignment horizontal="center" vertical="center" wrapText="1"/>
    </x:xf>
    <x:xf numFmtId="0" fontId="40" fillId="11" borderId="0" xfId="0" applyNumberFormat="1" applyFont="1" applyFill="1" applyBorder="1" applyAlignment="1">
      <x:alignment vertical="center" wrapText="1"/>
    </x:xf>
    <x:xf numFmtId="0" fontId="39" fillId="11" borderId="0" xfId="0" applyNumberFormat="1" applyFont="1" applyFill="1" applyBorder="1" applyAlignment="1">
      <x:alignment horizontal="center" vertical="center" wrapText="1"/>
    </x:xf>
    <x:xf numFmtId="0" fontId="35" fillId="16" borderId="2" xfId="0" applyNumberFormat="1" applyFont="1" applyFill="1" applyBorder="1" applyAlignment="1">
      <x:alignment horizontal="right" vertical="center" wrapText="1"/>
    </x:xf>
    <x:xf numFmtId="0" fontId="31" fillId="16" borderId="2" xfId="0" applyNumberFormat="1" applyFont="1" applyFill="1" applyBorder="1" applyAlignment="1">
      <x:alignment horizontal="right" vertical="center" wrapText="1"/>
    </x:xf>
    <x:xf numFmtId="0" fontId="35" fillId="16" borderId="0" xfId="0" applyNumberFormat="1" applyFont="1" applyFill="1" applyBorder="1" applyAlignment="1">
      <x:alignment horizontal="right" vertical="center" wrapText="1"/>
    </x:xf>
    <x:xf numFmtId="0" fontId="31" fillId="16" borderId="0" xfId="0" applyNumberFormat="1" applyFont="1" applyFill="1" applyBorder="1" applyAlignment="1">
      <x:alignment horizontal="right" vertical="center" wrapText="1"/>
    </x:xf>
    <x:xf numFmtId="200" fontId="23" fillId="13" borderId="0" xfId="0" applyNumberFormat="1" applyFont="1" applyFill="1" applyBorder="1" applyAlignment="1">
      <x:alignment horizontal="center" vertical="center" wrapText="1"/>
    </x:xf>
    <x:xf numFmtId="0" fontId="41" fillId="11" borderId="2" xfId="0" applyNumberFormat="1" applyFont="1" applyFill="1" applyBorder="1" applyAlignment="1">
      <x:alignment horizontal="center" vertical="center" wrapText="1"/>
    </x:xf>
    <x:xf numFmtId="0" fontId="42" fillId="11" borderId="2" xfId="0" applyNumberFormat="1" applyFont="1" applyFill="1" applyBorder="1" applyAlignment="1">
      <x:alignment vertical="center" wrapText="1"/>
    </x:xf>
    <x:xf numFmtId="0" fontId="41" fillId="11" borderId="4" xfId="0" applyNumberFormat="1" applyFont="1" applyFill="1" applyBorder="1" applyAlignment="1">
      <x:alignment horizontal="center" vertical="center" wrapText="1"/>
    </x:xf>
    <x:xf numFmtId="0" fontId="42" fillId="11" borderId="0" xfId="0" applyNumberFormat="1" applyFont="1" applyFill="1" applyBorder="1" applyAlignment="1">
      <x:alignment vertical="center" wrapText="1"/>
    </x:xf>
    <x:xf numFmtId="0" fontId="41" fillId="1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7"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008000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7F2704"/>
      </x:font>
      <x:fill>
        <x:patternFill patternType="solid">
          <x:bgColor rgb="FFF4B183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43e2a52d748b8" /><Relationship Type="http://schemas.openxmlformats.org/officeDocument/2006/relationships/theme" Target="/xl/theme/theme1.xml" Id="Rac504db0e069457e" /><Relationship Type="http://schemas.openxmlformats.org/officeDocument/2006/relationships/sharedStrings" Target="/xl/sharedStrings.xml" Id="R4835b1beb05842d9" /><Relationship Type="http://schemas.openxmlformats.org/officeDocument/2006/relationships/worksheet" Target="/xl/worksheets/sheet1.xml" Id="Rdc0fcc971e3f4a67" /><Relationship Type="http://schemas.openxmlformats.org/officeDocument/2006/relationships/worksheet" Target="/xl/worksheets/sheet2.xml" Id="R043724a5ea8b470a" /><Relationship Type="http://schemas.openxmlformats.org/officeDocument/2006/relationships/worksheet" Target="/xl/worksheets/sheet3.xml" Id="Rc388c31c8fe548f7" /><Relationship Type="http://schemas.openxmlformats.org/officeDocument/2006/relationships/worksheet" Target="/xl/worksheets/sheet4.xml" Id="Rb425a74aac9e432c" /></Relationships>
</file>

<file path=xl/tables/table1.xml><?xml version="1.0" encoding="utf-8"?>
<x:table xmlns:x="http://schemas.openxmlformats.org/spreadsheetml/2006/main" id="2" name="MacrovectorScores" displayName="MacrovectorScores" ref="A1:B271" headerRowCount="1" totalsRowCount="0" totalsRowShown="0">
  <x:tableColumns count="2">
    <x:tableColumn id="1" name="Macrovector Key"/>
    <x:tableColumn id="2" name="Official Highest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etricGuideOptions" displayName="MetricGuideOptions" ref="A1:D116" headerRowCount="1" totalsRowCount="0" totalsRowShown="0">
  <x:tableColumns count="4">
    <x:tableColumn id="1" name="Metric Code"/>
    <x:tableColumn id="2" name="Metric Name"/>
    <x:tableColumn id="3" name="Value"/>
    <x:tableColumn id="4" name="Option 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6051ace0c8f4f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be0244285c1409d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2" customHeight="1">
      <x:c r="A1" s="183" t="str">
        <x:v>CVSS</x:v>
      </x:c>
      <x:c r="B1" s="183"/>
      <x:c r="C1" s="184" t="str">
        <x:v>Common Vulnerability Scoring System Version 4.0 Calculator</x:v>
      </x:c>
      <x:c r="D1" s="184"/>
      <x:c r="E1" s="184"/>
      <x:c r="F1" s="186"/>
      <x:c r="G1" s="186"/>
      <x:c r="H1" s="186"/>
    </x:row>
    <x:row r="2" ht="26" customHeight="1">
      <x:c r="A2" s="193" t="str">
        <x:f>Engine!B49</x:f>
        <x:v>CVSS:4.0/AV:N/AC:L/AT:N/PR:N/UI:N/VC:N/VI:N/VA:N/SC:N/SI:N/SA:N</x:v>
      </x:c>
      <x:c r="B2" s="193"/>
      <x:c r="C2" s="193"/>
      <x:c r="D2" s="193"/>
      <x:c r="E2" s="193"/>
      <x:c r="F2" s="194"/>
      <x:c r="G2" s="194"/>
      <x:c r="H2" s="194"/>
    </x:row>
    <x:row r="3" ht="30" customHeight="1">
      <x:c r="A3" s="196" t="str">
        <x:v>CVSS v4.0 Score:</x:v>
      </x:c>
      <x:c r="B3" s="301" t="n">
        <x:f>Engine!B47</x:f>
        <x:v>0</x:v>
      </x:c>
      <x:c r="C3" s="201" t="str">
        <x:v>/ 10</x:v>
      </x:c>
      <x:c r="D3" s="202" t="str">
        <x:v>Severity</x:v>
      </x:c>
      <x:c r="E3" s="204" t="str">
        <x:f>Engine!B48</x:f>
        <x:v>None</x:v>
      </x:c>
      <x:c r="F3" s="206"/>
      <x:c r="G3" s="206"/>
      <x:c r="H3" s="206" t="str">
        <x:v>Base + Threat + Environmental metrics</x:v>
      </x:c>
    </x:row>
    <x:row r="4" ht="30" customHeight="1">
      <x:c r="A4" s="207" t="str">
        <x:v>Excel note: use the dropdown in column C for each metric. The matching full-name option button highlights green; other options remain grey.</x:v>
      </x:c>
      <x:c r="B4" s="208"/>
      <x:c r="C4" s="209"/>
      <x:c r="D4" s="210"/>
      <x:c r="E4" s="210"/>
      <x:c r="F4" s="211"/>
      <x:c r="G4" s="211"/>
      <x:c r="H4" s="211"/>
    </x:row>
    <x:row r="5" ht="26" customHeight="1">
      <x:c r="A5" s="181"/>
      <x:c r="B5" s="170"/>
      <x:c r="C5" s="170"/>
      <x:c r="D5" s="170"/>
      <x:c r="E5" s="170"/>
      <x:c r="F5" s="171"/>
      <x:c r="G5" s="171"/>
      <x:c r="H5" s="171"/>
    </x:row>
    <x:row r="6" ht="23" customHeight="1">
      <x:c r="A6" s="216" t="str">
        <x:v>BASE METRICS</x:v>
      </x:c>
      <x:c r="B6" s="217"/>
      <x:c r="C6" s="217"/>
      <x:c r="D6" s="217"/>
      <x:c r="E6" s="217"/>
      <x:c r="F6" s="216"/>
      <x:c r="G6" s="216"/>
      <x:c r="H6" s="216"/>
    </x:row>
    <x:row r="7" ht="22" customHeight="1">
      <x:c r="A7" s="220" t="str">
        <x:v>Exploitability Metrics</x:v>
      </x:c>
      <x:c r="B7" s="220"/>
      <x:c r="C7" s="220"/>
      <x:c r="D7" s="220"/>
      <x:c r="E7" s="220"/>
      <x:c r="F7" s="220"/>
      <x:c r="G7" s="220"/>
      <x:c r="H7" s="220"/>
    </x:row>
    <x:row r="8" ht="25" customHeight="1">
      <x:c r="A8" s="300" t="str">
        <x:v>Attack Vector (AV)</x:v>
      </x:c>
      <x:c r="B8" s="300"/>
      <x:c r="C8" s="243" t="str">
        <x:v>N</x:v>
      </x:c>
      <x:c r="D8" s="249" t="str">
        <x:v>Network (N)</x:v>
      </x:c>
      <x:c r="E8" s="250" t="str">
        <x:v>Adjacent (A)</x:v>
      </x:c>
      <x:c r="F8" s="250" t="str">
        <x:v>Local (L)</x:v>
      </x:c>
      <x:c r="G8" s="250" t="str">
        <x:v>Physical (P)</x:v>
      </x:c>
      <x:c r="H8" s="253"/>
    </x:row>
    <x:row r="9" ht="25" customHeight="1">
      <x:c r="A9" s="299" t="str">
        <x:v>Attack Complexity (AC)</x:v>
      </x:c>
      <x:c r="B9" s="299"/>
      <x:c r="C9" s="243" t="str">
        <x:v>L</x:v>
      </x:c>
      <x:c r="D9" s="263" t="str">
        <x:v>Low (L)</x:v>
      </x:c>
      <x:c r="E9" s="264" t="str">
        <x:v>High (H)</x:v>
      </x:c>
      <x:c r="F9" s="266"/>
      <x:c r="G9" s="266"/>
      <x:c r="H9" s="253"/>
    </x:row>
    <x:row r="10" ht="25" customHeight="1">
      <x:c r="A10" s="299" t="str">
        <x:v>Attack Requirements (AT)</x:v>
      </x:c>
      <x:c r="B10" s="299"/>
      <x:c r="C10" s="243" t="str">
        <x:v>N</x:v>
      </x:c>
      <x:c r="D10" s="263" t="str">
        <x:v>None (N)</x:v>
      </x:c>
      <x:c r="E10" s="264" t="str">
        <x:v>Present (P)</x:v>
      </x:c>
      <x:c r="F10" s="266"/>
      <x:c r="G10" s="266"/>
      <x:c r="H10" s="253"/>
    </x:row>
    <x:row r="11" ht="25" customHeight="1">
      <x:c r="A11" s="297" t="str">
        <x:v>Privileges Required (PR)</x:v>
      </x:c>
      <x:c r="B11" s="298"/>
      <x:c r="C11" s="284" t="str">
        <x:v>N</x:v>
      </x:c>
      <x:c r="D11" s="249" t="str">
        <x:v>None (N)</x:v>
      </x:c>
      <x:c r="E11" s="250" t="str">
        <x:v>Low (L)</x:v>
      </x:c>
      <x:c r="F11" s="250" t="str">
        <x:v>High (H)</x:v>
      </x:c>
      <x:c r="G11" s="266"/>
      <x:c r="H11" s="253"/>
    </x:row>
    <x:row r="12" ht="25" customHeight="1">
      <x:c r="A12" s="297" t="str">
        <x:v>User Interaction (UI)</x:v>
      </x:c>
      <x:c r="B12" s="298"/>
      <x:c r="C12" s="284" t="str">
        <x:v>N</x:v>
      </x:c>
      <x:c r="D12" s="249" t="str">
        <x:v>None (N)</x:v>
      </x:c>
      <x:c r="E12" s="250" t="str">
        <x:v>Passive (P)</x:v>
      </x:c>
      <x:c r="F12" s="250" t="str">
        <x:v>Active (A)</x:v>
      </x:c>
      <x:c r="G12" s="266"/>
      <x:c r="H12" s="253"/>
    </x:row>
    <x:row r="13" ht="22" customHeight="1">
      <x:c r="A13" s="224" t="str">
        <x:v>Vulnerable System Impact Metrics</x:v>
      </x:c>
      <x:c r="B13" s="224"/>
      <x:c r="C13" s="226"/>
      <x:c r="D13" s="224"/>
      <x:c r="E13" s="224"/>
      <x:c r="F13" s="220"/>
      <x:c r="G13" s="220"/>
      <x:c r="H13" s="220"/>
    </x:row>
    <x:row r="14" ht="25" customHeight="1">
      <x:c r="A14" s="297" t="str">
        <x:v>Confidentiality (VC)</x:v>
      </x:c>
      <x:c r="B14" s="298"/>
      <x:c r="C14" s="284" t="str">
        <x:v>N</x:v>
      </x:c>
      <x:c r="D14" s="249" t="str">
        <x:v>High (H)</x:v>
      </x:c>
      <x:c r="E14" s="250" t="str">
        <x:v>Low (L)</x:v>
      </x:c>
      <x:c r="F14" s="250" t="str">
        <x:v>None (N)</x:v>
      </x:c>
      <x:c r="G14" s="266"/>
      <x:c r="H14" s="253"/>
    </x:row>
    <x:row r="15" ht="25" customHeight="1">
      <x:c r="A15" s="297" t="str">
        <x:v>Integrity (VI)</x:v>
      </x:c>
      <x:c r="B15" s="298"/>
      <x:c r="C15" s="284" t="str">
        <x:v>N</x:v>
      </x:c>
      <x:c r="D15" s="249" t="str">
        <x:v>High (H)</x:v>
      </x:c>
      <x:c r="E15" s="250" t="str">
        <x:v>Low (L)</x:v>
      </x:c>
      <x:c r="F15" s="250" t="str">
        <x:v>None (N)</x:v>
      </x:c>
      <x:c r="G15" s="266"/>
      <x:c r="H15" s="253"/>
    </x:row>
    <x:row r="16" ht="25" customHeight="1">
      <x:c r="A16" s="297" t="str">
        <x:v>Availability (VA)</x:v>
      </x:c>
      <x:c r="B16" s="298"/>
      <x:c r="C16" s="284" t="str">
        <x:v>N</x:v>
      </x:c>
      <x:c r="D16" s="249" t="str">
        <x:v>High (H)</x:v>
      </x:c>
      <x:c r="E16" s="250" t="str">
        <x:v>Low (L)</x:v>
      </x:c>
      <x:c r="F16" s="250" t="str">
        <x:v>None (N)</x:v>
      </x:c>
      <x:c r="G16" s="266"/>
      <x:c r="H16" s="253"/>
    </x:row>
    <x:row r="17" ht="22" customHeight="1">
      <x:c r="A17" s="224" t="str">
        <x:v>Subsequent System Impact Metrics</x:v>
      </x:c>
      <x:c r="B17" s="224"/>
      <x:c r="C17" s="226"/>
      <x:c r="D17" s="224"/>
      <x:c r="E17" s="224"/>
      <x:c r="F17" s="220"/>
      <x:c r="G17" s="220"/>
      <x:c r="H17" s="220"/>
    </x:row>
    <x:row r="18" ht="25" customHeight="1">
      <x:c r="A18" s="297" t="str">
        <x:v>Confidentiality (SC)</x:v>
      </x:c>
      <x:c r="B18" s="298"/>
      <x:c r="C18" s="284" t="str">
        <x:v>N</x:v>
      </x:c>
      <x:c r="D18" s="249" t="str">
        <x:v>High (H)</x:v>
      </x:c>
      <x:c r="E18" s="250" t="str">
        <x:v>Low (L)</x:v>
      </x:c>
      <x:c r="F18" s="250" t="str">
        <x:v>None (N)</x:v>
      </x:c>
      <x:c r="G18" s="266"/>
      <x:c r="H18" s="253"/>
    </x:row>
    <x:row r="19" ht="25" customHeight="1">
      <x:c r="A19" s="297" t="str">
        <x:v>Integrity (SI)</x:v>
      </x:c>
      <x:c r="B19" s="298"/>
      <x:c r="C19" s="284" t="str">
        <x:v>N</x:v>
      </x:c>
      <x:c r="D19" s="249" t="str">
        <x:v>High (H)</x:v>
      </x:c>
      <x:c r="E19" s="250" t="str">
        <x:v>Low (L)</x:v>
      </x:c>
      <x:c r="F19" s="250" t="str">
        <x:v>None (N)</x:v>
      </x:c>
      <x:c r="G19" s="266"/>
      <x:c r="H19" s="253"/>
    </x:row>
    <x:row r="20" ht="25" customHeight="1">
      <x:c r="A20" s="297" t="str">
        <x:v>Availability (SA)</x:v>
      </x:c>
      <x:c r="B20" s="298"/>
      <x:c r="C20" s="284" t="str">
        <x:v>N</x:v>
      </x:c>
      <x:c r="D20" s="249" t="str">
        <x:v>High (H)</x:v>
      </x:c>
      <x:c r="E20" s="250" t="str">
        <x:v>Low (L)</x:v>
      </x:c>
      <x:c r="F20" s="250" t="str">
        <x:v>None (N)</x:v>
      </x:c>
      <x:c r="G20" s="266"/>
      <x:c r="H20" s="253"/>
    </x:row>
    <x:row r="21" ht="23" customHeight="1">
      <x:c r="A21" s="231" t="str">
        <x:v>THREAT METRICS</x:v>
      </x:c>
      <x:c r="B21" s="231"/>
      <x:c r="C21" s="233"/>
      <x:c r="D21" s="231"/>
      <x:c r="E21" s="231"/>
      <x:c r="F21" s="216"/>
      <x:c r="G21" s="216"/>
      <x:c r="H21" s="216"/>
    </x:row>
    <x:row r="22" ht="25" customHeight="1">
      <x:c r="A22" s="300" t="str">
        <x:v>Exploit Maturity (E)</x:v>
      </x:c>
      <x:c r="B22" s="300"/>
      <x:c r="C22" s="243" t="str">
        <x:v>X</x:v>
      </x:c>
      <x:c r="D22" s="249" t="str">
        <x:v>Not Defined (X)</x:v>
      </x:c>
      <x:c r="E22" s="250" t="str">
        <x:v>Attacked (A)</x:v>
      </x:c>
      <x:c r="F22" s="250" t="str">
        <x:v>Proof-of-Concept (P)</x:v>
      </x:c>
      <x:c r="G22" s="250" t="str">
        <x:v>Unreported (U)</x:v>
      </x:c>
      <x:c r="H22" s="253"/>
    </x:row>
    <x:row r="23" ht="23" customHeight="1">
      <x:c r="A23" s="216" t="str">
        <x:v>ENVIRONMENTAL METRICS</x:v>
      </x:c>
      <x:c r="B23" s="216"/>
      <x:c r="C23" s="216"/>
      <x:c r="D23" s="216"/>
      <x:c r="E23" s="216"/>
      <x:c r="F23" s="216"/>
      <x:c r="G23" s="216"/>
      <x:c r="H23" s="216"/>
    </x:row>
    <x:row r="24" ht="22" customHeight="1">
      <x:c r="A24" s="220" t="str">
        <x:v>Security Requirements</x:v>
      </x:c>
      <x:c r="B24" s="220"/>
      <x:c r="C24" s="220"/>
      <x:c r="D24" s="220"/>
      <x:c r="E24" s="220"/>
      <x:c r="F24" s="220"/>
      <x:c r="G24" s="220"/>
      <x:c r="H24" s="220"/>
    </x:row>
    <x:row r="25" ht="25" customHeight="1">
      <x:c r="A25" s="297" t="str">
        <x:v>Confidentiality Requirement (CR)</x:v>
      </x:c>
      <x:c r="B25" s="298"/>
      <x:c r="C25" s="284" t="str">
        <x:v>X</x:v>
      </x:c>
      <x:c r="D25" s="249" t="str">
        <x:v>Not Defined (X)</x:v>
      </x:c>
      <x:c r="E25" s="250" t="str">
        <x:v>High (H)</x:v>
      </x:c>
      <x:c r="F25" s="250" t="str">
        <x:v>Medium (M)</x:v>
      </x:c>
      <x:c r="G25" s="250" t="str">
        <x:v>Low (L)</x:v>
      </x:c>
      <x:c r="H25" s="253"/>
    </x:row>
    <x:row r="26" ht="25" customHeight="1">
      <x:c r="A26" s="300" t="str">
        <x:v>Integrity Requirement (IR)</x:v>
      </x:c>
      <x:c r="B26" s="300"/>
      <x:c r="C26" s="243" t="str">
        <x:v>X</x:v>
      </x:c>
      <x:c r="D26" s="249" t="str">
        <x:v>Not Defined (X)</x:v>
      </x:c>
      <x:c r="E26" s="250" t="str">
        <x:v>High (H)</x:v>
      </x:c>
      <x:c r="F26" s="250" t="str">
        <x:v>Medium (M)</x:v>
      </x:c>
      <x:c r="G26" s="250" t="str">
        <x:v>Low (L)</x:v>
      </x:c>
      <x:c r="H26" s="253"/>
    </x:row>
    <x:row r="27" ht="25" customHeight="1">
      <x:c r="A27" s="299" t="str">
        <x:v>Availability Requirement (AR)</x:v>
      </x:c>
      <x:c r="B27" s="299"/>
      <x:c r="C27" s="243" t="str">
        <x:v>X</x:v>
      </x:c>
      <x:c r="D27" s="263" t="str">
        <x:v>Not Defined (X)</x:v>
      </x:c>
      <x:c r="E27" s="264" t="str">
        <x:v>High (H)</x:v>
      </x:c>
      <x:c r="F27" s="250" t="str">
        <x:v>Medium (M)</x:v>
      </x:c>
      <x:c r="G27" s="250" t="str">
        <x:v>Low (L)</x:v>
      </x:c>
      <x:c r="H27" s="253"/>
    </x:row>
    <x:row r="28" ht="22" customHeight="1">
      <x:c r="A28" s="220" t="str">
        <x:v>Modified Exploitability and Impact Metrics</x:v>
      </x:c>
      <x:c r="B28" s="220"/>
      <x:c r="C28" s="220"/>
      <x:c r="D28" s="220"/>
      <x:c r="E28" s="220"/>
      <x:c r="F28" s="220"/>
      <x:c r="G28" s="220"/>
      <x:c r="H28" s="220"/>
    </x:row>
    <x:row r="29" ht="25" customHeight="1">
      <x:c r="A29" s="297" t="str">
        <x:v>Modified Attack Vector (MAV)</x:v>
      </x:c>
      <x:c r="B29" s="298"/>
      <x:c r="C29" s="284" t="str">
        <x:v>X</x:v>
      </x:c>
      <x:c r="D29" s="249" t="str">
        <x:v>Not Defined (X)</x:v>
      </x:c>
      <x:c r="E29" s="250" t="str">
        <x:v>Network (N)</x:v>
      </x:c>
      <x:c r="F29" s="250" t="str">
        <x:v>Adjacent (A)</x:v>
      </x:c>
      <x:c r="G29" s="250" t="str">
        <x:v>Local (L)</x:v>
      </x:c>
      <x:c r="H29" s="251" t="str">
        <x:v>Physical (P)</x:v>
      </x:c>
    </x:row>
    <x:row r="30" ht="25" customHeight="1">
      <x:c r="A30" s="297" t="str">
        <x:v>Modified Attack Complexity (MAC)</x:v>
      </x:c>
      <x:c r="B30" s="298"/>
      <x:c r="C30" s="284" t="str">
        <x:v>X</x:v>
      </x:c>
      <x:c r="D30" s="249" t="str">
        <x:v>Not Defined (X)</x:v>
      </x:c>
      <x:c r="E30" s="250" t="str">
        <x:v>Low (L)</x:v>
      </x:c>
      <x:c r="F30" s="250" t="str">
        <x:v>High (H)</x:v>
      </x:c>
      <x:c r="G30" s="266"/>
      <x:c r="H30" s="253"/>
    </x:row>
    <x:row r="31" ht="25" customHeight="1">
      <x:c r="A31" s="297" t="str">
        <x:v>Modified Attack Requirements (MAT)</x:v>
      </x:c>
      <x:c r="B31" s="298"/>
      <x:c r="C31" s="284" t="str">
        <x:v>X</x:v>
      </x:c>
      <x:c r="D31" s="249" t="str">
        <x:v>Not Defined (X)</x:v>
      </x:c>
      <x:c r="E31" s="250" t="str">
        <x:v>None (N)</x:v>
      </x:c>
      <x:c r="F31" s="250" t="str">
        <x:v>Present (P)</x:v>
      </x:c>
      <x:c r="G31" s="266"/>
      <x:c r="H31" s="253"/>
    </x:row>
    <x:row r="32" ht="25" customHeight="1">
      <x:c r="A32" s="297" t="str">
        <x:v>Modified Privileges Required (MPR)</x:v>
      </x:c>
      <x:c r="B32" s="298"/>
      <x:c r="C32" s="284" t="str">
        <x:v>X</x:v>
      </x:c>
      <x:c r="D32" s="249" t="str">
        <x:v>Not Defined (X)</x:v>
      </x:c>
      <x:c r="E32" s="250" t="str">
        <x:v>None (N)</x:v>
      </x:c>
      <x:c r="F32" s="250" t="str">
        <x:v>Low (L)</x:v>
      </x:c>
      <x:c r="G32" s="250" t="str">
        <x:v>High (H)</x:v>
      </x:c>
      <x:c r="H32" s="253"/>
    </x:row>
    <x:row r="33" ht="25" customHeight="1">
      <x:c r="A33" s="297" t="str">
        <x:v>Modified User Interaction (MUI)</x:v>
      </x:c>
      <x:c r="B33" s="298"/>
      <x:c r="C33" s="284" t="str">
        <x:v>X</x:v>
      </x:c>
      <x:c r="D33" s="249" t="str">
        <x:v>Not Defined (X)</x:v>
      </x:c>
      <x:c r="E33" s="250" t="str">
        <x:v>None (N)</x:v>
      </x:c>
      <x:c r="F33" s="250" t="str">
        <x:v>Passive (P)</x:v>
      </x:c>
      <x:c r="G33" s="250" t="str">
        <x:v>Active (A)</x:v>
      </x:c>
      <x:c r="H33" s="253"/>
    </x:row>
    <x:row r="34" ht="31" customHeight="1">
      <x:c r="A34" s="297" t="str">
        <x:v>Modified Vulnerable System Confidentiality (MVC)</x:v>
      </x:c>
      <x:c r="B34" s="298"/>
      <x:c r="C34" s="284" t="str">
        <x:v>X</x:v>
      </x:c>
      <x:c r="D34" s="249" t="str">
        <x:v>Not Defined (X)</x:v>
      </x:c>
      <x:c r="E34" s="250" t="str">
        <x:v>High (H)</x:v>
      </x:c>
      <x:c r="F34" s="250" t="str">
        <x:v>Low (L)</x:v>
      </x:c>
      <x:c r="G34" s="250" t="str">
        <x:v>None (N)</x:v>
      </x:c>
      <x:c r="H34" s="253"/>
    </x:row>
    <x:row r="35" ht="31" customHeight="1">
      <x:c r="A35" s="297" t="str">
        <x:v>Modified Vulnerable System Integrity (MVI)</x:v>
      </x:c>
      <x:c r="B35" s="298"/>
      <x:c r="C35" s="284" t="str">
        <x:v>X</x:v>
      </x:c>
      <x:c r="D35" s="249" t="str">
        <x:v>Not Defined (X)</x:v>
      </x:c>
      <x:c r="E35" s="250" t="str">
        <x:v>High (H)</x:v>
      </x:c>
      <x:c r="F35" s="250" t="str">
        <x:v>Low (L)</x:v>
      </x:c>
      <x:c r="G35" s="250" t="str">
        <x:v>None (N)</x:v>
      </x:c>
      <x:c r="H35" s="253"/>
    </x:row>
    <x:row r="36" ht="31" customHeight="1">
      <x:c r="A36" s="297" t="str">
        <x:v>Modified Vulnerable System Availability (MVA)</x:v>
      </x:c>
      <x:c r="B36" s="298"/>
      <x:c r="C36" s="284" t="str">
        <x:v>X</x:v>
      </x:c>
      <x:c r="D36" s="249" t="str">
        <x:v>Not Defined (X)</x:v>
      </x:c>
      <x:c r="E36" s="250" t="str">
        <x:v>High (H)</x:v>
      </x:c>
      <x:c r="F36" s="250" t="str">
        <x:v>Low (L)</x:v>
      </x:c>
      <x:c r="G36" s="250" t="str">
        <x:v>None (N)</x:v>
      </x:c>
      <x:c r="H36" s="253"/>
    </x:row>
    <x:row r="37" ht="31" customHeight="1">
      <x:c r="A37" s="297" t="str">
        <x:v>Modified Subsequent System Confidentiality (MSC)</x:v>
      </x:c>
      <x:c r="B37" s="298"/>
      <x:c r="C37" s="284" t="str">
        <x:v>X</x:v>
      </x:c>
      <x:c r="D37" s="249" t="str">
        <x:v>Not Defined (X)</x:v>
      </x:c>
      <x:c r="E37" s="250" t="str">
        <x:v>High (H)</x:v>
      </x:c>
      <x:c r="F37" s="250" t="str">
        <x:v>Low (L)</x:v>
      </x:c>
      <x:c r="G37" s="250" t="str">
        <x:v>None (N)</x:v>
      </x:c>
      <x:c r="H37" s="253"/>
    </x:row>
    <x:row r="38" ht="31" customHeight="1">
      <x:c r="A38" s="297" t="str">
        <x:v>Modified Subsequent System Integrity (MSI)</x:v>
      </x:c>
      <x:c r="B38" s="298"/>
      <x:c r="C38" s="284" t="str">
        <x:v>X</x:v>
      </x:c>
      <x:c r="D38" s="249" t="str">
        <x:v>Not Defined (X)</x:v>
      </x:c>
      <x:c r="E38" s="250" t="str">
        <x:v>Safety impact (S)</x:v>
      </x:c>
      <x:c r="F38" s="250" t="str">
        <x:v>High (H)</x:v>
      </x:c>
      <x:c r="G38" s="250" t="str">
        <x:v>Low (L)</x:v>
      </x:c>
      <x:c r="H38" s="251" t="str">
        <x:v>None (N)</x:v>
      </x:c>
    </x:row>
    <x:row r="39" ht="31" customHeight="1">
      <x:c r="A39" s="297" t="str">
        <x:v>Modified Subsequent System Availability (MSA)</x:v>
      </x:c>
      <x:c r="B39" s="298"/>
      <x:c r="C39" s="284" t="str">
        <x:v>X</x:v>
      </x:c>
      <x:c r="D39" s="249" t="str">
        <x:v>Not Defined (X)</x:v>
      </x:c>
      <x:c r="E39" s="250" t="str">
        <x:v>Safety impact (S)</x:v>
      </x:c>
      <x:c r="F39" s="250" t="str">
        <x:v>High (H)</x:v>
      </x:c>
      <x:c r="G39" s="250" t="str">
        <x:v>Low (L)</x:v>
      </x:c>
      <x:c r="H39" s="251" t="str">
        <x:v>None (N)</x:v>
      </x:c>
    </x:row>
    <x:row r="40" ht="23" customHeight="1">
      <x:c r="A40" s="231" t="str">
        <x:v>SUPPLEMENTAL METRICS</x:v>
      </x:c>
      <x:c r="B40" s="231"/>
      <x:c r="C40" s="233"/>
      <x:c r="D40" s="231"/>
      <x:c r="E40" s="231"/>
      <x:c r="F40" s="216"/>
      <x:c r="G40" s="216"/>
      <x:c r="H40" s="216"/>
    </x:row>
    <x:row r="41" ht="25" customHeight="1">
      <x:c r="A41" s="297" t="str">
        <x:v>Safety (S)</x:v>
      </x:c>
      <x:c r="B41" s="298"/>
      <x:c r="C41" s="284" t="str">
        <x:v>X</x:v>
      </x:c>
      <x:c r="D41" s="249" t="str">
        <x:v>Not Defined (X)</x:v>
      </x:c>
      <x:c r="E41" s="250" t="str">
        <x:v>Negligible (N)</x:v>
      </x:c>
      <x:c r="F41" s="250" t="str">
        <x:v>Present (P)</x:v>
      </x:c>
      <x:c r="G41" s="266"/>
      <x:c r="H41" s="253"/>
    </x:row>
    <x:row r="42" ht="25" customHeight="1">
      <x:c r="A42" s="297" t="str">
        <x:v>Automatable (AU)</x:v>
      </x:c>
      <x:c r="B42" s="298"/>
      <x:c r="C42" s="284" t="str">
        <x:v>X</x:v>
      </x:c>
      <x:c r="D42" s="249" t="str">
        <x:v>Not Defined (X)</x:v>
      </x:c>
      <x:c r="E42" s="250" t="str">
        <x:v>No (N)</x:v>
      </x:c>
      <x:c r="F42" s="250" t="str">
        <x:v>Yes (Y)</x:v>
      </x:c>
      <x:c r="G42" s="266"/>
      <x:c r="H42" s="253"/>
    </x:row>
    <x:row r="43" ht="25" customHeight="1">
      <x:c r="A43" s="300" t="str">
        <x:v>Recovery (R)</x:v>
      </x:c>
      <x:c r="B43" s="300"/>
      <x:c r="C43" s="243" t="str">
        <x:v>X</x:v>
      </x:c>
      <x:c r="D43" s="249" t="str">
        <x:v>Not Defined (X)</x:v>
      </x:c>
      <x:c r="E43" s="250" t="str">
        <x:v>Automatic (A)</x:v>
      </x:c>
      <x:c r="F43" s="250" t="str">
        <x:v>User-assisted (U)</x:v>
      </x:c>
      <x:c r="G43" s="250" t="str">
        <x:v>Irrecoverable (I)</x:v>
      </x:c>
      <x:c r="H43" s="253"/>
    </x:row>
    <x:row r="44" ht="25" customHeight="1">
      <x:c r="A44" s="299" t="str">
        <x:v>Value Density (V)</x:v>
      </x:c>
      <x:c r="B44" s="299"/>
      <x:c r="C44" s="243" t="str">
        <x:v>X</x:v>
      </x:c>
      <x:c r="D44" s="263" t="str">
        <x:v>Not Defined (X)</x:v>
      </x:c>
      <x:c r="E44" s="264" t="str">
        <x:v>Diffuse (D)</x:v>
      </x:c>
      <x:c r="F44" s="250" t="str">
        <x:v>Concentrated (C)</x:v>
      </x:c>
      <x:c r="G44" s="266"/>
      <x:c r="H44" s="253"/>
    </x:row>
    <x:row r="45" ht="25" customHeight="1">
      <x:c r="A45" s="299" t="str">
        <x:v>Vulnerability Response Effort (RE)</x:v>
      </x:c>
      <x:c r="B45" s="299"/>
      <x:c r="C45" s="243" t="str">
        <x:v>X</x:v>
      </x:c>
      <x:c r="D45" s="263" t="str">
        <x:v>Not Defined (X)</x:v>
      </x:c>
      <x:c r="E45" s="264" t="str">
        <x:v>Low (L)</x:v>
      </x:c>
      <x:c r="F45" s="250" t="str">
        <x:v>Medium (M)</x:v>
      </x:c>
      <x:c r="G45" s="250" t="str">
        <x:v>High (H)</x:v>
      </x:c>
      <x:c r="H45" s="253"/>
    </x:row>
    <x:row r="46" ht="25" customHeight="1">
      <x:c r="A46" s="297" t="str">
        <x:v>Provider Urgency (U)</x:v>
      </x:c>
      <x:c r="B46" s="298"/>
      <x:c r="C46" s="284" t="str">
        <x:v>X</x:v>
      </x:c>
      <x:c r="D46" s="249" t="str">
        <x:v>Not Defined (X)</x:v>
      </x:c>
      <x:c r="E46" s="250" t="str">
        <x:v>Clear</x:v>
      </x:c>
      <x:c r="F46" s="250" t="str">
        <x:v>Green</x:v>
      </x:c>
      <x:c r="G46" s="250" t="str">
        <x:v>Amber</x:v>
      </x:c>
      <x:c r="H46" s="251" t="str">
        <x:v>Red</x:v>
      </x:c>
    </x:row>
    <x:row r="47" ht="8" customHeight="1">
      <x:c r="A47" s="302"/>
      <x:c r="B47" s="303"/>
      <x:c r="C47" s="304"/>
      <x:c r="D47" s="303"/>
      <x:c r="E47" s="303"/>
      <x:c r="F47" s="305"/>
      <x:c r="G47" s="305"/>
      <x:c r="H47" s="305"/>
    </x:row>
    <x:row r="48" ht="26" customHeight="1">
      <x:c r="A48" s="287" t="str">
        <x:v>CVSS is owned by FIRST.org. This is an independent Excel implementation inspired by the public reference calculator, not an official FIRST product.</x:v>
      </x:c>
      <x:c r="B48" s="288"/>
      <x:c r="C48" s="289"/>
      <x:c r="D48" s="288"/>
      <x:c r="E48" s="288"/>
      <x:c r="F48" s="290"/>
      <x:c r="G48" s="290"/>
      <x:c r="H48" s="290"/>
    </x:row>
    <x:row r="49" ht="28" customHeight="1">
      <x:c r="A49" s="292" t="str">
        <x:v>Official calculator: https://www.first.org/cvss/calculator/4.0  |  Specification: https://www.first.org/cvss/v4.0/specification-document</x:v>
      </x:c>
      <x:c r="B49" s="293"/>
      <x:c r="C49" s="294"/>
      <x:c r="D49" s="293"/>
      <x:c r="E49" s="293"/>
      <x:c r="F49" s="295"/>
      <x:c r="G49" s="295"/>
      <x:c r="H49" s="295"/>
    </x:row>
    <x:row r="50" ht="32" customHeight="1">
      <x:c r="A50" s="172"/>
      <x:c r="B50" s="173"/>
      <x:c r="C50" s="174"/>
      <x:c r="D50" s="173"/>
      <x:c r="E50" s="173"/>
      <x:c r="F50" s="171"/>
      <x:c r="G50" s="171"/>
      <x:c r="H50" s="171"/>
    </x:row>
    <x:row r="51" ht="32" customHeight="1">
      <x:c r="A51" s="172"/>
      <x:c r="B51" s="173"/>
      <x:c r="C51" s="174"/>
      <x:c r="D51" s="173"/>
      <x:c r="E51" s="173"/>
      <x:c r="F51" s="171"/>
      <x:c r="G51" s="171"/>
      <x:c r="H51" s="171"/>
    </x:row>
    <x:row r="52">
      <x:c r="A52" s="171"/>
      <x:c r="B52" s="171"/>
      <x:c r="C52" s="171"/>
      <x:c r="D52" s="171"/>
      <x:c r="E52" s="171"/>
      <x:c r="F52" s="171"/>
      <x:c r="G52" s="171"/>
      <x:c r="H52" s="171"/>
    </x:row>
    <x:row r="53" ht="32" customHeight="1">
      <x:c r="A53" s="171"/>
      <x:c r="B53" s="171"/>
      <x:c r="C53" s="171"/>
      <x:c r="D53" s="171"/>
      <x:c r="E53" s="171"/>
      <x:c r="F53" s="171"/>
      <x:c r="G53" s="171"/>
      <x:c r="H53" s="171"/>
    </x:row>
    <x:row r="54">
      <x:c r="A54" s="171"/>
      <x:c r="B54" s="171"/>
      <x:c r="C54" s="171"/>
      <x:c r="D54" s="171"/>
      <x:c r="E54" s="171"/>
      <x:c r="F54" s="171"/>
      <x:c r="G54" s="171"/>
      <x:c r="H54" s="171"/>
    </x:row>
    <x:row r="55">
      <x:c r="A55" s="171"/>
      <x:c r="B55" s="171"/>
      <x:c r="C55" s="171"/>
      <x:c r="D55" s="171"/>
      <x:c r="E55" s="171"/>
      <x:c r="F55" s="171"/>
      <x:c r="G55" s="171"/>
      <x:c r="H55" s="171"/>
    </x:row>
  </x:sheetData>
  <x:mergeCells>
    <x:mergeCell ref="A1:B1"/>
    <x:mergeCell ref="C1:H1"/>
    <x:mergeCell ref="A2:H2"/>
    <x:mergeCell ref="A4:H4"/>
    <x:mergeCell ref="A6:H6"/>
    <x:mergeCell ref="A7:H7"/>
    <x:mergeCell ref="A13:H13"/>
    <x:mergeCell ref="A17:H17"/>
    <x:mergeCell ref="A21:H21"/>
    <x:mergeCell ref="A23:H23"/>
    <x:mergeCell ref="A24:H24"/>
    <x:mergeCell ref="A28:H28"/>
    <x:mergeCell ref="A40:H40"/>
    <x:mergeCell ref="A8:B8"/>
    <x:mergeCell ref="A9:B9"/>
    <x:mergeCell ref="A10:B10"/>
    <x:mergeCell ref="A11:B11"/>
    <x:mergeCell ref="A12:B12"/>
    <x:mergeCell ref="A14:B14"/>
    <x:mergeCell ref="A15:B15"/>
    <x:mergeCell ref="A16:B16"/>
    <x:mergeCell ref="A18:B18"/>
    <x:mergeCell ref="A19:B19"/>
    <x:mergeCell ref="A20:B20"/>
    <x:mergeCell ref="A22:B22"/>
    <x:mergeCell ref="A25:B25"/>
    <x:mergeCell ref="A26:B26"/>
    <x:mergeCell ref="A27:B27"/>
    <x:mergeCell ref="A29:B29"/>
    <x:mergeCell ref="A30:B30"/>
    <x:mergeCell ref="A31:B31"/>
    <x:mergeCell ref="A32:B32"/>
    <x:mergeCell ref="A33:B33"/>
    <x:mergeCell ref="A34:B34"/>
    <x:mergeCell ref="A35:B35"/>
    <x:mergeCell ref="A36:B36"/>
    <x:mergeCell ref="A37:B37"/>
    <x:mergeCell ref="A38:B38"/>
    <x:mergeCell ref="A39:B39"/>
    <x:mergeCell ref="A41:B41"/>
    <x:mergeCell ref="A42:B42"/>
    <x:mergeCell ref="A43:B43"/>
    <x:mergeCell ref="A44:B44"/>
    <x:mergeCell ref="A45:B45"/>
    <x:mergeCell ref="A46:B46"/>
    <x:mergeCell ref="A48:H48"/>
    <x:mergeCell ref="A49:H49"/>
  </x:mergeCells>
  <x:conditionalFormatting sqref="D4:D4">
    <x:cfRule type="expression" dxfId="0" priority="1">
      <x:formula>D4="Critical"</x:formula>
    </x:cfRule>
    <x:cfRule type="expression" dxfId="1" priority="2">
      <x:formula>D4="High"</x:formula>
    </x:cfRule>
    <x:cfRule type="expression" dxfId="2" priority="3">
      <x:formula>D4="Medium"</x:formula>
    </x:cfRule>
    <x:cfRule type="expression" dxfId="3" priority="4">
      <x:formula>D4="Low"</x:formula>
    </x:cfRule>
    <x:cfRule type="expression" dxfId="4" priority="5">
      <x:formula>D4="None"</x:formula>
    </x:cfRule>
  </x:conditionalFormatting>
  <x:conditionalFormatting sqref="D8:D8">
    <x:cfRule type="expression" dxfId="5" priority="6">
      <x:formula>$C8="N"</x:formula>
    </x:cfRule>
  </x:conditionalFormatting>
  <x:conditionalFormatting sqref="E8:E8">
    <x:cfRule type="expression" dxfId="6" priority="7">
      <x:formula>$C8="A"</x:formula>
    </x:cfRule>
  </x:conditionalFormatting>
  <x:conditionalFormatting sqref="F8:F8">
    <x:cfRule type="expression" dxfId="7" priority="8">
      <x:formula>$C8="L"</x:formula>
    </x:cfRule>
  </x:conditionalFormatting>
  <x:conditionalFormatting sqref="G8:G8">
    <x:cfRule type="expression" dxfId="8" priority="9">
      <x:formula>$C8="P"</x:formula>
    </x:cfRule>
  </x:conditionalFormatting>
  <x:conditionalFormatting sqref="D9:D9">
    <x:cfRule type="expression" dxfId="9" priority="10">
      <x:formula>$C9="L"</x:formula>
    </x:cfRule>
  </x:conditionalFormatting>
  <x:conditionalFormatting sqref="E9:E9">
    <x:cfRule type="expression" dxfId="10" priority="11">
      <x:formula>$C9="H"</x:formula>
    </x:cfRule>
  </x:conditionalFormatting>
  <x:conditionalFormatting sqref="D10:D10">
    <x:cfRule type="expression" dxfId="11" priority="12">
      <x:formula>$C10="N"</x:formula>
    </x:cfRule>
  </x:conditionalFormatting>
  <x:conditionalFormatting sqref="E10:E10">
    <x:cfRule type="expression" dxfId="12" priority="13">
      <x:formula>$C10="P"</x:formula>
    </x:cfRule>
  </x:conditionalFormatting>
  <x:conditionalFormatting sqref="D11:D11">
    <x:cfRule type="expression" dxfId="13" priority="14">
      <x:formula>$C11="N"</x:formula>
    </x:cfRule>
  </x:conditionalFormatting>
  <x:conditionalFormatting sqref="E11:E11">
    <x:cfRule type="expression" dxfId="14" priority="15">
      <x:formula>$C11="L"</x:formula>
    </x:cfRule>
  </x:conditionalFormatting>
  <x:conditionalFormatting sqref="F11:F11">
    <x:cfRule type="expression" dxfId="15" priority="16">
      <x:formula>$C11="H"</x:formula>
    </x:cfRule>
  </x:conditionalFormatting>
  <x:conditionalFormatting sqref="D12:D12">
    <x:cfRule type="expression" dxfId="16" priority="17">
      <x:formula>$C12="N"</x:formula>
    </x:cfRule>
  </x:conditionalFormatting>
  <x:conditionalFormatting sqref="E12:E12">
    <x:cfRule type="expression" dxfId="17" priority="18">
      <x:formula>$C12="P"</x:formula>
    </x:cfRule>
  </x:conditionalFormatting>
  <x:conditionalFormatting sqref="F12:F12">
    <x:cfRule type="expression" dxfId="18" priority="19">
      <x:formula>$C12="A"</x:formula>
    </x:cfRule>
  </x:conditionalFormatting>
  <x:conditionalFormatting sqref="D14:D14">
    <x:cfRule type="expression" dxfId="19" priority="20">
      <x:formula>$C14="H"</x:formula>
    </x:cfRule>
  </x:conditionalFormatting>
  <x:conditionalFormatting sqref="E14:E14">
    <x:cfRule type="expression" dxfId="20" priority="21">
      <x:formula>$C14="L"</x:formula>
    </x:cfRule>
  </x:conditionalFormatting>
  <x:conditionalFormatting sqref="F14:F14">
    <x:cfRule type="expression" dxfId="21" priority="22">
      <x:formula>$C14="N"</x:formula>
    </x:cfRule>
  </x:conditionalFormatting>
  <x:conditionalFormatting sqref="D15:D15">
    <x:cfRule type="expression" dxfId="22" priority="23">
      <x:formula>$C15="H"</x:formula>
    </x:cfRule>
  </x:conditionalFormatting>
  <x:conditionalFormatting sqref="E15:E15">
    <x:cfRule type="expression" dxfId="23" priority="24">
      <x:formula>$C15="L"</x:formula>
    </x:cfRule>
  </x:conditionalFormatting>
  <x:conditionalFormatting sqref="F15:F15">
    <x:cfRule type="expression" dxfId="24" priority="25">
      <x:formula>$C15="N"</x:formula>
    </x:cfRule>
  </x:conditionalFormatting>
  <x:conditionalFormatting sqref="D16:D16">
    <x:cfRule type="expression" dxfId="25" priority="26">
      <x:formula>$C16="H"</x:formula>
    </x:cfRule>
  </x:conditionalFormatting>
  <x:conditionalFormatting sqref="E16:E16">
    <x:cfRule type="expression" dxfId="26" priority="27">
      <x:formula>$C16="L"</x:formula>
    </x:cfRule>
  </x:conditionalFormatting>
  <x:conditionalFormatting sqref="F16:F16">
    <x:cfRule type="expression" dxfId="27" priority="28">
      <x:formula>$C16="N"</x:formula>
    </x:cfRule>
  </x:conditionalFormatting>
  <x:conditionalFormatting sqref="D18:D18">
    <x:cfRule type="expression" dxfId="28" priority="29">
      <x:formula>$C18="H"</x:formula>
    </x:cfRule>
  </x:conditionalFormatting>
  <x:conditionalFormatting sqref="E18:E18">
    <x:cfRule type="expression" dxfId="29" priority="30">
      <x:formula>$C18="L"</x:formula>
    </x:cfRule>
  </x:conditionalFormatting>
  <x:conditionalFormatting sqref="F18:F18">
    <x:cfRule type="expression" dxfId="30" priority="31">
      <x:formula>$C18="N"</x:formula>
    </x:cfRule>
  </x:conditionalFormatting>
  <x:conditionalFormatting sqref="D19:D19">
    <x:cfRule type="expression" dxfId="31" priority="32">
      <x:formula>$C19="H"</x:formula>
    </x:cfRule>
  </x:conditionalFormatting>
  <x:conditionalFormatting sqref="E19:E19">
    <x:cfRule type="expression" dxfId="32" priority="33">
      <x:formula>$C19="L"</x:formula>
    </x:cfRule>
  </x:conditionalFormatting>
  <x:conditionalFormatting sqref="F19:F19">
    <x:cfRule type="expression" dxfId="33" priority="34">
      <x:formula>$C19="N"</x:formula>
    </x:cfRule>
  </x:conditionalFormatting>
  <x:conditionalFormatting sqref="G19:G19">
    <x:cfRule type="expression" dxfId="34" priority="35">
      <x:formula>$C19="S"</x:formula>
    </x:cfRule>
  </x:conditionalFormatting>
  <x:conditionalFormatting sqref="D20:D20">
    <x:cfRule type="expression" dxfId="35" priority="36">
      <x:formula>$C20="H"</x:formula>
    </x:cfRule>
  </x:conditionalFormatting>
  <x:conditionalFormatting sqref="E20:E20">
    <x:cfRule type="expression" dxfId="36" priority="37">
      <x:formula>$C20="L"</x:formula>
    </x:cfRule>
  </x:conditionalFormatting>
  <x:conditionalFormatting sqref="F20:F20">
    <x:cfRule type="expression" dxfId="37" priority="38">
      <x:formula>$C20="N"</x:formula>
    </x:cfRule>
  </x:conditionalFormatting>
  <x:conditionalFormatting sqref="G20:G20">
    <x:cfRule type="expression" dxfId="38" priority="39">
      <x:formula>$C20="S"</x:formula>
    </x:cfRule>
  </x:conditionalFormatting>
  <x:conditionalFormatting sqref="D22:D22">
    <x:cfRule type="expression" dxfId="39" priority="40">
      <x:formula>$C22="X"</x:formula>
    </x:cfRule>
  </x:conditionalFormatting>
  <x:conditionalFormatting sqref="E22:E22">
    <x:cfRule type="expression" dxfId="40" priority="41">
      <x:formula>$C22="A"</x:formula>
    </x:cfRule>
  </x:conditionalFormatting>
  <x:conditionalFormatting sqref="F22:F22">
    <x:cfRule type="expression" dxfId="41" priority="42">
      <x:formula>$C22="P"</x:formula>
    </x:cfRule>
  </x:conditionalFormatting>
  <x:conditionalFormatting sqref="G22:G22">
    <x:cfRule type="expression" dxfId="42" priority="43">
      <x:formula>$C22="U"</x:formula>
    </x:cfRule>
  </x:conditionalFormatting>
  <x:conditionalFormatting sqref="D25:D25">
    <x:cfRule type="expression" dxfId="43" priority="44">
      <x:formula>$C25="X"</x:formula>
    </x:cfRule>
  </x:conditionalFormatting>
  <x:conditionalFormatting sqref="E25:E25">
    <x:cfRule type="expression" dxfId="44" priority="45">
      <x:formula>$C25="H"</x:formula>
    </x:cfRule>
  </x:conditionalFormatting>
  <x:conditionalFormatting sqref="F25:F25">
    <x:cfRule type="expression" dxfId="45" priority="46">
      <x:formula>$C25="M"</x:formula>
    </x:cfRule>
  </x:conditionalFormatting>
  <x:conditionalFormatting sqref="G25:G25">
    <x:cfRule type="expression" dxfId="46" priority="47">
      <x:formula>$C25="L"</x:formula>
    </x:cfRule>
  </x:conditionalFormatting>
  <x:conditionalFormatting sqref="D26:D26">
    <x:cfRule type="expression" dxfId="47" priority="48">
      <x:formula>$C26="X"</x:formula>
    </x:cfRule>
  </x:conditionalFormatting>
  <x:conditionalFormatting sqref="E26:E26">
    <x:cfRule type="expression" dxfId="48" priority="49">
      <x:formula>$C26="H"</x:formula>
    </x:cfRule>
  </x:conditionalFormatting>
  <x:conditionalFormatting sqref="F26:F26">
    <x:cfRule type="expression" dxfId="49" priority="50">
      <x:formula>$C26="M"</x:formula>
    </x:cfRule>
  </x:conditionalFormatting>
  <x:conditionalFormatting sqref="G26:G26">
    <x:cfRule type="expression" dxfId="50" priority="51">
      <x:formula>$C26="L"</x:formula>
    </x:cfRule>
  </x:conditionalFormatting>
  <x:conditionalFormatting sqref="D27:D27">
    <x:cfRule type="expression" dxfId="51" priority="52">
      <x:formula>$C27="X"</x:formula>
    </x:cfRule>
  </x:conditionalFormatting>
  <x:conditionalFormatting sqref="E27:E27">
    <x:cfRule type="expression" dxfId="52" priority="53">
      <x:formula>$C27="H"</x:formula>
    </x:cfRule>
  </x:conditionalFormatting>
  <x:conditionalFormatting sqref="F27:F27">
    <x:cfRule type="expression" dxfId="53" priority="54">
      <x:formula>$C27="M"</x:formula>
    </x:cfRule>
  </x:conditionalFormatting>
  <x:conditionalFormatting sqref="G27:G27">
    <x:cfRule type="expression" dxfId="54" priority="55">
      <x:formula>$C27="L"</x:formula>
    </x:cfRule>
  </x:conditionalFormatting>
  <x:conditionalFormatting sqref="D29:D29">
    <x:cfRule type="expression" dxfId="55" priority="56">
      <x:formula>$C29="X"</x:formula>
    </x:cfRule>
  </x:conditionalFormatting>
  <x:conditionalFormatting sqref="E29:E29">
    <x:cfRule type="expression" dxfId="56" priority="57">
      <x:formula>$C29="N"</x:formula>
    </x:cfRule>
  </x:conditionalFormatting>
  <x:conditionalFormatting sqref="F29:F29">
    <x:cfRule type="expression" dxfId="57" priority="58">
      <x:formula>$C29="A"</x:formula>
    </x:cfRule>
  </x:conditionalFormatting>
  <x:conditionalFormatting sqref="G29:G29">
    <x:cfRule type="expression" dxfId="58" priority="59">
      <x:formula>$C29="L"</x:formula>
    </x:cfRule>
  </x:conditionalFormatting>
  <x:conditionalFormatting sqref="H29:H29">
    <x:cfRule type="expression" dxfId="59" priority="60">
      <x:formula>$C29="P"</x:formula>
    </x:cfRule>
  </x:conditionalFormatting>
  <x:conditionalFormatting sqref="D30:D30">
    <x:cfRule type="expression" dxfId="60" priority="61">
      <x:formula>$C30="X"</x:formula>
    </x:cfRule>
  </x:conditionalFormatting>
  <x:conditionalFormatting sqref="E30:E30">
    <x:cfRule type="expression" dxfId="61" priority="62">
      <x:formula>$C30="L"</x:formula>
    </x:cfRule>
  </x:conditionalFormatting>
  <x:conditionalFormatting sqref="F30:F30">
    <x:cfRule type="expression" dxfId="62" priority="63">
      <x:formula>$C30="H"</x:formula>
    </x:cfRule>
  </x:conditionalFormatting>
  <x:conditionalFormatting sqref="D31:D31">
    <x:cfRule type="expression" dxfId="63" priority="64">
      <x:formula>$C31="X"</x:formula>
    </x:cfRule>
  </x:conditionalFormatting>
  <x:conditionalFormatting sqref="E31:E31">
    <x:cfRule type="expression" dxfId="64" priority="65">
      <x:formula>$C31="N"</x:formula>
    </x:cfRule>
  </x:conditionalFormatting>
  <x:conditionalFormatting sqref="F31:F31">
    <x:cfRule type="expression" dxfId="65" priority="66">
      <x:formula>$C31="P"</x:formula>
    </x:cfRule>
  </x:conditionalFormatting>
  <x:conditionalFormatting sqref="D32:D32">
    <x:cfRule type="expression" dxfId="66" priority="67">
      <x:formula>$C32="X"</x:formula>
    </x:cfRule>
  </x:conditionalFormatting>
  <x:conditionalFormatting sqref="E32:E32">
    <x:cfRule type="expression" dxfId="67" priority="68">
      <x:formula>$C32="N"</x:formula>
    </x:cfRule>
  </x:conditionalFormatting>
  <x:conditionalFormatting sqref="F32:F32">
    <x:cfRule type="expression" dxfId="68" priority="69">
      <x:formula>$C32="L"</x:formula>
    </x:cfRule>
  </x:conditionalFormatting>
  <x:conditionalFormatting sqref="G32:G32">
    <x:cfRule type="expression" dxfId="69" priority="70">
      <x:formula>$C32="H"</x:formula>
    </x:cfRule>
  </x:conditionalFormatting>
  <x:conditionalFormatting sqref="D33:D33">
    <x:cfRule type="expression" dxfId="70" priority="71">
      <x:formula>$C33="X"</x:formula>
    </x:cfRule>
  </x:conditionalFormatting>
  <x:conditionalFormatting sqref="E33:E33">
    <x:cfRule type="expression" dxfId="71" priority="72">
      <x:formula>$C33="N"</x:formula>
    </x:cfRule>
  </x:conditionalFormatting>
  <x:conditionalFormatting sqref="F33:F33">
    <x:cfRule type="expression" dxfId="72" priority="73">
      <x:formula>$C33="P"</x:formula>
    </x:cfRule>
  </x:conditionalFormatting>
  <x:conditionalFormatting sqref="G33:G33">
    <x:cfRule type="expression" dxfId="73" priority="74">
      <x:formula>$C33="A"</x:formula>
    </x:cfRule>
  </x:conditionalFormatting>
  <x:conditionalFormatting sqref="D34:D34">
    <x:cfRule type="expression" dxfId="74" priority="75">
      <x:formula>$C34="X"</x:formula>
    </x:cfRule>
  </x:conditionalFormatting>
  <x:conditionalFormatting sqref="E34:E34">
    <x:cfRule type="expression" dxfId="75" priority="76">
      <x:formula>$C34="H"</x:formula>
    </x:cfRule>
  </x:conditionalFormatting>
  <x:conditionalFormatting sqref="F34:F34">
    <x:cfRule type="expression" dxfId="76" priority="77">
      <x:formula>$C34="L"</x:formula>
    </x:cfRule>
  </x:conditionalFormatting>
  <x:conditionalFormatting sqref="G34:G34">
    <x:cfRule type="expression" dxfId="77" priority="78">
      <x:formula>$C34="N"</x:formula>
    </x:cfRule>
  </x:conditionalFormatting>
  <x:conditionalFormatting sqref="D35:D35">
    <x:cfRule type="expression" dxfId="78" priority="79">
      <x:formula>$C35="X"</x:formula>
    </x:cfRule>
  </x:conditionalFormatting>
  <x:conditionalFormatting sqref="E35:E35">
    <x:cfRule type="expression" dxfId="79" priority="80">
      <x:formula>$C35="H"</x:formula>
    </x:cfRule>
  </x:conditionalFormatting>
  <x:conditionalFormatting sqref="F35:F35">
    <x:cfRule type="expression" dxfId="80" priority="81">
      <x:formula>$C35="L"</x:formula>
    </x:cfRule>
  </x:conditionalFormatting>
  <x:conditionalFormatting sqref="G35:G35">
    <x:cfRule type="expression" dxfId="81" priority="82">
      <x:formula>$C35="N"</x:formula>
    </x:cfRule>
  </x:conditionalFormatting>
  <x:conditionalFormatting sqref="D36:D36">
    <x:cfRule type="expression" dxfId="82" priority="83">
      <x:formula>$C36="X"</x:formula>
    </x:cfRule>
  </x:conditionalFormatting>
  <x:conditionalFormatting sqref="E36:E36">
    <x:cfRule type="expression" dxfId="83" priority="84">
      <x:formula>$C36="H"</x:formula>
    </x:cfRule>
  </x:conditionalFormatting>
  <x:conditionalFormatting sqref="F36:F36">
    <x:cfRule type="expression" dxfId="84" priority="85">
      <x:formula>$C36="L"</x:formula>
    </x:cfRule>
  </x:conditionalFormatting>
  <x:conditionalFormatting sqref="G36:G36">
    <x:cfRule type="expression" dxfId="85" priority="86">
      <x:formula>$C36="N"</x:formula>
    </x:cfRule>
  </x:conditionalFormatting>
  <x:conditionalFormatting sqref="D37:D37">
    <x:cfRule type="expression" dxfId="86" priority="87">
      <x:formula>$C37="X"</x:formula>
    </x:cfRule>
  </x:conditionalFormatting>
  <x:conditionalFormatting sqref="E37:E37">
    <x:cfRule type="expression" dxfId="87" priority="88">
      <x:formula>$C37="H"</x:formula>
    </x:cfRule>
  </x:conditionalFormatting>
  <x:conditionalFormatting sqref="F37:F37">
    <x:cfRule type="expression" dxfId="88" priority="89">
      <x:formula>$C37="L"</x:formula>
    </x:cfRule>
  </x:conditionalFormatting>
  <x:conditionalFormatting sqref="G37:G37">
    <x:cfRule type="expression" dxfId="89" priority="90">
      <x:formula>$C37="N"</x:formula>
    </x:cfRule>
  </x:conditionalFormatting>
  <x:conditionalFormatting sqref="D38:D38">
    <x:cfRule type="expression" dxfId="90" priority="91">
      <x:formula>$C38="X"</x:formula>
    </x:cfRule>
  </x:conditionalFormatting>
  <x:conditionalFormatting sqref="E38:E38">
    <x:cfRule type="expression" dxfId="91" priority="92">
      <x:formula>$C38="S"</x:formula>
    </x:cfRule>
  </x:conditionalFormatting>
  <x:conditionalFormatting sqref="F38:F38">
    <x:cfRule type="expression" dxfId="92" priority="93">
      <x:formula>$C38="H"</x:formula>
    </x:cfRule>
  </x:conditionalFormatting>
  <x:conditionalFormatting sqref="G38:G38">
    <x:cfRule type="expression" dxfId="93" priority="94">
      <x:formula>$C38="L"</x:formula>
    </x:cfRule>
  </x:conditionalFormatting>
  <x:conditionalFormatting sqref="H38:H38">
    <x:cfRule type="expression" dxfId="94" priority="95">
      <x:formula>$C38="N"</x:formula>
    </x:cfRule>
  </x:conditionalFormatting>
  <x:conditionalFormatting sqref="D39:D39">
    <x:cfRule type="expression" dxfId="95" priority="96">
      <x:formula>$C39="X"</x:formula>
    </x:cfRule>
  </x:conditionalFormatting>
  <x:conditionalFormatting sqref="E39:E39">
    <x:cfRule type="expression" dxfId="96" priority="97">
      <x:formula>$C39="S"</x:formula>
    </x:cfRule>
  </x:conditionalFormatting>
  <x:conditionalFormatting sqref="F39:F39">
    <x:cfRule type="expression" dxfId="97" priority="98">
      <x:formula>$C39="H"</x:formula>
    </x:cfRule>
  </x:conditionalFormatting>
  <x:conditionalFormatting sqref="G39:G39">
    <x:cfRule type="expression" dxfId="98" priority="99">
      <x:formula>$C39="L"</x:formula>
    </x:cfRule>
  </x:conditionalFormatting>
  <x:conditionalFormatting sqref="H39:H39">
    <x:cfRule type="expression" dxfId="99" priority="100">
      <x:formula>$C39="N"</x:formula>
    </x:cfRule>
  </x:conditionalFormatting>
  <x:conditionalFormatting sqref="D41:D41">
    <x:cfRule type="expression" dxfId="100" priority="101">
      <x:formula>$C41="X"</x:formula>
    </x:cfRule>
  </x:conditionalFormatting>
  <x:conditionalFormatting sqref="E41:E41">
    <x:cfRule type="expression" dxfId="101" priority="102">
      <x:formula>$C41="N"</x:formula>
    </x:cfRule>
  </x:conditionalFormatting>
  <x:conditionalFormatting sqref="F41:F41">
    <x:cfRule type="expression" dxfId="102" priority="103">
      <x:formula>$C41="P"</x:formula>
    </x:cfRule>
  </x:conditionalFormatting>
  <x:conditionalFormatting sqref="D42:D42">
    <x:cfRule type="expression" dxfId="103" priority="104">
      <x:formula>$C42="X"</x:formula>
    </x:cfRule>
  </x:conditionalFormatting>
  <x:conditionalFormatting sqref="E42:E42">
    <x:cfRule type="expression" dxfId="104" priority="105">
      <x:formula>$C42="N"</x:formula>
    </x:cfRule>
  </x:conditionalFormatting>
  <x:conditionalFormatting sqref="F42:F42">
    <x:cfRule type="expression" dxfId="105" priority="106">
      <x:formula>$C42="Y"</x:formula>
    </x:cfRule>
  </x:conditionalFormatting>
  <x:conditionalFormatting sqref="D43:D43">
    <x:cfRule type="expression" dxfId="106" priority="107">
      <x:formula>$C43="X"</x:formula>
    </x:cfRule>
  </x:conditionalFormatting>
  <x:conditionalFormatting sqref="E43:E43">
    <x:cfRule type="expression" dxfId="107" priority="108">
      <x:formula>$C43="A"</x:formula>
    </x:cfRule>
  </x:conditionalFormatting>
  <x:conditionalFormatting sqref="F43:F43">
    <x:cfRule type="expression" dxfId="108" priority="109">
      <x:formula>$C43="U"</x:formula>
    </x:cfRule>
  </x:conditionalFormatting>
  <x:conditionalFormatting sqref="G43:G43">
    <x:cfRule type="expression" dxfId="109" priority="110">
      <x:formula>$C43="I"</x:formula>
    </x:cfRule>
  </x:conditionalFormatting>
  <x:conditionalFormatting sqref="D44:D44">
    <x:cfRule type="expression" dxfId="110" priority="111">
      <x:formula>$C44="X"</x:formula>
    </x:cfRule>
  </x:conditionalFormatting>
  <x:conditionalFormatting sqref="E44:E44">
    <x:cfRule type="expression" dxfId="111" priority="112">
      <x:formula>$C44="D"</x:formula>
    </x:cfRule>
  </x:conditionalFormatting>
  <x:conditionalFormatting sqref="F44:F44">
    <x:cfRule type="expression" dxfId="112" priority="113">
      <x:formula>$C44="C"</x:formula>
    </x:cfRule>
  </x:conditionalFormatting>
  <x:conditionalFormatting sqref="D45:D45">
    <x:cfRule type="expression" dxfId="113" priority="114">
      <x:formula>$C45="X"</x:formula>
    </x:cfRule>
  </x:conditionalFormatting>
  <x:conditionalFormatting sqref="E45:E45">
    <x:cfRule type="expression" dxfId="114" priority="115">
      <x:formula>$C45="L"</x:formula>
    </x:cfRule>
  </x:conditionalFormatting>
  <x:conditionalFormatting sqref="F45:F45">
    <x:cfRule type="expression" dxfId="115" priority="116">
      <x:formula>$C45="M"</x:formula>
    </x:cfRule>
  </x:conditionalFormatting>
  <x:conditionalFormatting sqref="G45:G45">
    <x:cfRule type="expression" dxfId="116" priority="117">
      <x:formula>$C45="H"</x:formula>
    </x:cfRule>
  </x:conditionalFormatting>
  <x:conditionalFormatting sqref="D46:D46">
    <x:cfRule type="expression" dxfId="117" priority="118">
      <x:formula>$C46="X"</x:formula>
    </x:cfRule>
  </x:conditionalFormatting>
  <x:conditionalFormatting sqref="E46:E46">
    <x:cfRule type="expression" dxfId="118" priority="119">
      <x:formula>$C46="Clear"</x:formula>
    </x:cfRule>
  </x:conditionalFormatting>
  <x:conditionalFormatting sqref="F46:F46">
    <x:cfRule type="expression" dxfId="119" priority="120">
      <x:formula>$C46="Green"</x:formula>
    </x:cfRule>
  </x:conditionalFormatting>
  <x:conditionalFormatting sqref="G46:G46">
    <x:cfRule type="expression" dxfId="120" priority="121">
      <x:formula>$C46="Amber"</x:formula>
    </x:cfRule>
  </x:conditionalFormatting>
  <x:conditionalFormatting sqref="H46:H46">
    <x:cfRule type="expression" dxfId="121" priority="122">
      <x:formula>$C46="Red"</x:formula>
    </x:cfRule>
  </x:conditionalFormatting>
  <x:conditionalFormatting sqref="E3:E3">
    <x:cfRule type="expression" dxfId="122" priority="123">
      <x:formula>$E$3="Critical"</x:formula>
    </x:cfRule>
    <x:cfRule type="expression" dxfId="123" priority="124">
      <x:formula>$E$3="High"</x:formula>
    </x:cfRule>
    <x:cfRule type="expression" dxfId="124" priority="125">
      <x:formula>$E$3="Medium"</x:formula>
    </x:cfRule>
    <x:cfRule type="expression" dxfId="125" priority="126">
      <x:formula>$E$3="Low"</x:formula>
    </x:cfRule>
    <x:cfRule type="expression" dxfId="126" priority="127">
      <x:formula>$E$3="None"</x:formula>
    </x:cfRule>
  </x:conditionalFormatting>
  <x:dataValidations count="41">
    <x:dataValidation type="list" sqref="C11">
      <x:formula1>"N,L,H"</x:formula1>
    </x:dataValidation>
    <x:dataValidation type="list" sqref="C12">
      <x:formula1>"N,P,A"</x:formula1>
    </x:dataValidation>
    <x:dataValidation type="list" sqref="C13">
      <x:formula1>"N,P"</x:formula1>
    </x:dataValidation>
    <x:dataValidation type="list" sqref="C14">
      <x:formula1>"H,L,N"</x:formula1>
    </x:dataValidation>
    <x:dataValidation type="list" sqref="C15">
      <x:formula1>"H,L,N"</x:formula1>
    </x:dataValidation>
    <x:dataValidation type="list" sqref="C16">
      <x:formula1>"H,L,N"</x:formula1>
    </x:dataValidation>
    <x:dataValidation type="list" sqref="C17">
      <x:formula1>"H,L,N"</x:formula1>
    </x:dataValidation>
    <x:dataValidation type="list" sqref="C18">
      <x:formula1>"H,L,N"</x:formula1>
    </x:dataValidation>
    <x:dataValidation type="list" sqref="C19">
      <x:formula1>"H,L,N"</x:formula1>
    </x:dataValidation>
    <x:dataValidation type="list" sqref="C20">
      <x:formula1>"H,L,N"</x:formula1>
    </x:dataValidation>
    <x:dataValidation type="list" sqref="C21">
      <x:formula1>"H,L,N"</x:formula1>
    </x:dataValidation>
    <x:dataValidation type="list" sqref="C25">
      <x:formula1>"X,H,M,L"</x:formula1>
    </x:dataValidation>
    <x:dataValidation type="list" sqref="C29">
      <x:formula1>"X,N,A,L,P"</x:formula1>
    </x:dataValidation>
    <x:dataValidation type="list" sqref="C30">
      <x:formula1>"X,L,H"</x:formula1>
    </x:dataValidation>
    <x:dataValidation type="list" sqref="C31">
      <x:formula1>"X,N,P"</x:formula1>
    </x:dataValidation>
    <x:dataValidation type="list" sqref="C32">
      <x:formula1>"X,N,L,H"</x:formula1>
    </x:dataValidation>
    <x:dataValidation type="list" sqref="C33">
      <x:formula1>"X,N,P,A"</x:formula1>
    </x:dataValidation>
    <x:dataValidation type="list" sqref="C34">
      <x:formula1>"X,H,L,N"</x:formula1>
    </x:dataValidation>
    <x:dataValidation type="list" sqref="C35">
      <x:formula1>"X,H,L,N"</x:formula1>
    </x:dataValidation>
    <x:dataValidation type="list" sqref="C36">
      <x:formula1>"X,H,L,N"</x:formula1>
    </x:dataValidation>
    <x:dataValidation type="list" sqref="C37">
      <x:formula1>"X,H,L,N"</x:formula1>
    </x:dataValidation>
    <x:dataValidation type="list" sqref="C38">
      <x:formula1>"X,S,H,L,N"</x:formula1>
    </x:dataValidation>
    <x:dataValidation type="list" sqref="C39">
      <x:formula1>"X,S,H,L,N"</x:formula1>
    </x:dataValidation>
    <x:dataValidation type="list" sqref="C40">
      <x:formula1>"X,H,L,N"</x:formula1>
    </x:dataValidation>
    <x:dataValidation type="list" sqref="C41">
      <x:formula1>"X,N,P"</x:formula1>
    </x:dataValidation>
    <x:dataValidation type="list" sqref="C42">
      <x:formula1>"X,N,Y"</x:formula1>
    </x:dataValidation>
    <x:dataValidation type="list" sqref="C46">
      <x:formula1>"X,Clear,Green,Amber,Red"</x:formula1>
    </x:dataValidation>
    <x:dataValidation type="list" sqref="C47">
      <x:formula1>"X,N,Y"</x:formula1>
    </x:dataValidation>
    <x:dataValidation type="list" sqref="C48">
      <x:formula1>"X,A,U,I"</x:formula1>
    </x:dataValidation>
    <x:dataValidation type="list" sqref="C49">
      <x:formula1>"X,D,C"</x:formula1>
    </x:dataValidation>
    <x:dataValidation type="list" sqref="C50">
      <x:formula1>"X,L,M,H"</x:formula1>
    </x:dataValidation>
    <x:dataValidation type="list" sqref="C51">
      <x:formula1>"X,Clear,Green,Amber,Red"</x:formula1>
    </x:dataValidation>
    <x:dataValidation type="list" sqref="C8">
      <x:formula1>"N,A,L,P"</x:formula1>
    </x:dataValidation>
    <x:dataValidation type="list" sqref="C9">
      <x:formula1>"L,H"</x:formula1>
    </x:dataValidation>
    <x:dataValidation type="list" sqref="C10">
      <x:formula1>"N,P"</x:formula1>
    </x:dataValidation>
    <x:dataValidation type="list" sqref="C22">
      <x:formula1>"X,A,P,U"</x:formula1>
    </x:dataValidation>
    <x:dataValidation type="list" sqref="C26">
      <x:formula1>"X,H,M,L"</x:formula1>
    </x:dataValidation>
    <x:dataValidation type="list" sqref="C27">
      <x:formula1>"X,H,M,L"</x:formula1>
    </x:dataValidation>
    <x:dataValidation type="list" sqref="C43">
      <x:formula1>"X,A,U,I"</x:formula1>
    </x:dataValidation>
    <x:dataValidation type="list" sqref="C44">
      <x:formula1>"X,D,C"</x:formula1>
    </x:dataValidation>
    <x:dataValidation type="list" sqref="C45">
      <x:formula1>"X,L,M,H"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5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6" customHeight="1">
      <x:c r="A1" s="109" t="str">
        <x:v>Metric</x:v>
      </x:c>
      <x:c r="B1" s="109" t="str">
        <x:v>User selection</x:v>
      </x:c>
      <x:c r="C1" s="109" t="str">
        <x:v>Effective metric used for scoring</x:v>
      </x:c>
      <x:c r="D1" s="109" t="str">
        <x:v>Severity distance rank</x:v>
      </x:c>
      <x:c r="E1" s="109" t="str">
        <x:v>Notes</x:v>
      </x:c>
    </x:row>
    <x:row r="2">
      <x:c r="A2" t="str">
        <x:v>AV</x:v>
      </x:c>
      <x:c r="B2" t="str">
        <x:f>Calculator!C8</x:f>
        <x:v>N</x:v>
      </x:c>
      <x:c r="C2" t="str">
        <x:f>IF(Calculator!C29="X",B2,Calculator!C29)</x:f>
        <x:v>N</x:v>
      </x:c>
      <x:c r="D2" t="n">
        <x:f>IF(C2="N",0,IF(C2="A",1,IF(C2="L",2,3)))</x:f>
        <x:v>0</x:v>
      </x:c>
    </x:row>
    <x:row r="3">
      <x:c r="A3" t="str">
        <x:v>AC</x:v>
      </x:c>
      <x:c r="B3" t="str">
        <x:f>Calculator!C9</x:f>
        <x:v>L</x:v>
      </x:c>
      <x:c r="C3" t="str">
        <x:f>IF(Calculator!C30="X",B3,Calculator!C30)</x:f>
        <x:v>L</x:v>
      </x:c>
      <x:c r="D3" t="n">
        <x:f>IF(C3="L",0,1)</x:f>
        <x:v>0</x:v>
      </x:c>
    </x:row>
    <x:row r="4">
      <x:c r="A4" t="str">
        <x:v>AT</x:v>
      </x:c>
      <x:c r="B4" t="str">
        <x:f>Calculator!C10</x:f>
        <x:v>N</x:v>
      </x:c>
      <x:c r="C4" t="str">
        <x:f>IF(Calculator!C31="X",B4,Calculator!C31)</x:f>
        <x:v>N</x:v>
      </x:c>
      <x:c r="D4" t="n">
        <x:f>IF(C4="N",0,1)</x:f>
        <x:v>0</x:v>
      </x:c>
    </x:row>
    <x:row r="5">
      <x:c r="A5" t="str">
        <x:v>PR</x:v>
      </x:c>
      <x:c r="B5" t="str">
        <x:f>Calculator!C11</x:f>
        <x:v>N</x:v>
      </x:c>
      <x:c r="C5" t="str">
        <x:f>IF(Calculator!C32="X",B5,Calculator!C32)</x:f>
        <x:v>N</x:v>
      </x:c>
      <x:c r="D5" t="n">
        <x:f>IF(C5="N",0,IF(C5="L",1,2))</x:f>
        <x:v>0</x:v>
      </x:c>
    </x:row>
    <x:row r="6">
      <x:c r="A6" t="str">
        <x:v>UI</x:v>
      </x:c>
      <x:c r="B6" t="str">
        <x:f>Calculator!C12</x:f>
        <x:v>N</x:v>
      </x:c>
      <x:c r="C6" t="str">
        <x:f>IF(Calculator!C33="X",B6,Calculator!C33)</x:f>
        <x:v>N</x:v>
      </x:c>
      <x:c r="D6" t="n">
        <x:f>IF(C6="N",0,IF(C6="P",1,2))</x:f>
        <x:v>0</x:v>
      </x:c>
    </x:row>
    <x:row r="7">
      <x:c r="A7" t="str">
        <x:v>VC</x:v>
      </x:c>
      <x:c r="B7" t="str">
        <x:f>Calculator!C14</x:f>
        <x:v>N</x:v>
      </x:c>
      <x:c r="C7" t="str">
        <x:f>IF(Calculator!C34="X",B7,Calculator!C34)</x:f>
        <x:v>N</x:v>
      </x:c>
      <x:c r="D7" t="n">
        <x:f>IF(C7="H",0,IF(C7="L",1,2))</x:f>
        <x:v>2</x:v>
      </x:c>
    </x:row>
    <x:row r="8">
      <x:c r="A8" t="str">
        <x:v>VI</x:v>
      </x:c>
      <x:c r="B8" t="str">
        <x:f>Calculator!C15</x:f>
        <x:v>N</x:v>
      </x:c>
      <x:c r="C8" t="str">
        <x:f>IF(Calculator!C35="X",B8,Calculator!C35)</x:f>
        <x:v>N</x:v>
      </x:c>
      <x:c r="D8" t="n">
        <x:f>IF(C8="H",0,IF(C8="L",1,2))</x:f>
        <x:v>2</x:v>
      </x:c>
    </x:row>
    <x:row r="9">
      <x:c r="A9" t="str">
        <x:v>VA</x:v>
      </x:c>
      <x:c r="B9" t="str">
        <x:f>Calculator!C16</x:f>
        <x:v>N</x:v>
      </x:c>
      <x:c r="C9" t="str">
        <x:f>IF(Calculator!C36="X",B9,Calculator!C36)</x:f>
        <x:v>N</x:v>
      </x:c>
      <x:c r="D9" t="n">
        <x:f>IF(C9="H",0,IF(C9="L",1,2))</x:f>
        <x:v>2</x:v>
      </x:c>
    </x:row>
    <x:row r="10">
      <x:c r="A10" t="str">
        <x:v>SC</x:v>
      </x:c>
      <x:c r="B10" t="str">
        <x:f>Calculator!C18</x:f>
        <x:v>N</x:v>
      </x:c>
      <x:c r="C10" t="str">
        <x:f>IF(Calculator!C37="X",B10,Calculator!C37)</x:f>
        <x:v>N</x:v>
      </x:c>
      <x:c r="D10" t="n">
        <x:f>IF(C10="H",1,IF(C10="L",2,3))</x:f>
        <x:v>3</x:v>
      </x:c>
    </x:row>
    <x:row r="11">
      <x:c r="A11" t="str">
        <x:v>SI</x:v>
      </x:c>
      <x:c r="B11" t="str">
        <x:f>Calculator!C19</x:f>
        <x:v>N</x:v>
      </x:c>
      <x:c r="C11" t="str">
        <x:f>IF(Calculator!C38="X",B11,Calculator!C38)</x:f>
        <x:v>N</x:v>
      </x:c>
      <x:c r="D11" t="n">
        <x:f>IF(C11="S",0,IF(C11="H",1,IF(C11="L",2,3)))</x:f>
        <x:v>3</x:v>
      </x:c>
    </x:row>
    <x:row r="12">
      <x:c r="A12" t="str">
        <x:v>SA</x:v>
      </x:c>
      <x:c r="B12" t="str">
        <x:f>Calculator!C20</x:f>
        <x:v>N</x:v>
      </x:c>
      <x:c r="C12" t="str">
        <x:f>IF(Calculator!C39="X",B12,Calculator!C39)</x:f>
        <x:v>N</x:v>
      </x:c>
      <x:c r="D12" t="n">
        <x:f>IF(C12="S",0,IF(C12="H",1,IF(C12="L",2,3)))</x:f>
        <x:v>3</x:v>
      </x:c>
    </x:row>
    <x:row r="13">
      <x:c r="A13" t="str">
        <x:v>E</x:v>
      </x:c>
      <x:c r="B13" t="str">
        <x:f>Calculator!C22</x:f>
        <x:v>X</x:v>
      </x:c>
      <x:c r="C13" t="str">
        <x:f>IF(B13="X","A",B13)</x:f>
        <x:v>A</x:v>
      </x:c>
      <x:c r="D13" t="n">
        <x:f>IF(C13="A",0,IF(C13="P",1,2))</x:f>
        <x:v>0</x:v>
      </x:c>
    </x:row>
    <x:row r="14">
      <x:c r="A14" t="str">
        <x:v>CR</x:v>
      </x:c>
      <x:c r="B14" t="str">
        <x:f>Calculator!C25</x:f>
        <x:v>X</x:v>
      </x:c>
      <x:c r="C14" t="str">
        <x:f>IF(B14="X","H",B14)</x:f>
        <x:v>H</x:v>
      </x:c>
      <x:c r="D14" t="n">
        <x:f>IF(C14="H",0,IF(C14="M",1,2))</x:f>
        <x:v>0</x:v>
      </x:c>
    </x:row>
    <x:row r="15">
      <x:c r="A15" t="str">
        <x:v>IR</x:v>
      </x:c>
      <x:c r="B15" t="str">
        <x:f>Calculator!C26</x:f>
        <x:v>X</x:v>
      </x:c>
      <x:c r="C15" t="str">
        <x:f>IF(B15="X","H",B15)</x:f>
        <x:v>H</x:v>
      </x:c>
      <x:c r="D15" t="n">
        <x:f>IF(C15="H",0,IF(C15="M",1,2))</x:f>
        <x:v>0</x:v>
      </x:c>
    </x:row>
    <x:row r="16">
      <x:c r="A16" t="str">
        <x:v>AR</x:v>
      </x:c>
      <x:c r="B16" t="str">
        <x:f>Calculator!C27</x:f>
        <x:v>X</x:v>
      </x:c>
      <x:c r="C16" t="str">
        <x:f>IF(B16="X","H",B16)</x:f>
        <x:v>H</x:v>
      </x:c>
      <x:c r="D16" t="n">
        <x:f>IF(C16="H",0,IF(C16="M",1,2))</x:f>
        <x:v>0</x:v>
      </x:c>
    </x:row>
    <x:row r="19">
      <x:c r="A19" s="19" t="str">
        <x:v>EQ1</x:v>
      </x:c>
      <x:c r="B19" s="19" t="n">
        <x:f>IF(AND(C2="N",C5="N",C6="N"),0,IF(AND(OR(C2="N",C5="N",C6="N"),C2&lt;&gt;"P"),1,2))</x:f>
        <x:v>0</x:v>
      </x:c>
    </x:row>
    <x:row r="20">
      <x:c r="A20" s="19" t="str">
        <x:v>EQ2</x:v>
      </x:c>
      <x:c r="B20" s="19" t="n">
        <x:f>IF(AND(C3="L",C4="N"),0,1)</x:f>
        <x:v>0</x:v>
      </x:c>
    </x:row>
    <x:row r="21">
      <x:c r="A21" s="19" t="str">
        <x:v>EQ3</x:v>
      </x:c>
      <x:c r="B21" s="19" t="n">
        <x:f>IF(AND(C7="H",C8="H"),0,IF(OR(C7="H",C8="H",C9="H"),1,2))</x:f>
        <x:v>2</x:v>
      </x:c>
    </x:row>
    <x:row r="22">
      <x:c r="A22" s="19" t="str">
        <x:v>EQ4</x:v>
      </x:c>
      <x:c r="B22" s="19" t="n">
        <x:f>IF(OR(C11="S",C12="S"),0,IF(OR(C10="H",C11="H",C12="H"),1,2))</x:f>
        <x:v>2</x:v>
      </x:c>
    </x:row>
    <x:row r="23">
      <x:c r="A23" s="19" t="str">
        <x:v>EQ5</x:v>
      </x:c>
      <x:c r="B23" s="19" t="n">
        <x:f>IF(C13="A",0,IF(C13="P",1,2))</x:f>
        <x:v>0</x:v>
      </x:c>
    </x:row>
    <x:row r="24">
      <x:c r="A24" s="19" t="str">
        <x:v>EQ6</x:v>
      </x:c>
      <x:c r="B24" s="19" t="n">
        <x:f>IF(OR(AND(C14="H",C7="H"),AND(C15="H",C8="H"),AND(C16="H",C9="H")),0,1)</x:f>
        <x:v>1</x:v>
      </x:c>
    </x:row>
    <x:row r="25">
      <x:c r="A25" s="19" t="str">
        <x:v>Macrovector Key</x:v>
      </x:c>
      <x:c r="B25" s="19" t="str">
        <x:f>B19&amp;B20&amp;B21&amp;B22&amp;B23&amp;B24</x:f>
        <x:v>002201</x:v>
      </x:c>
    </x:row>
    <x:row r="26">
      <x:c r="A26" s="127" t="str">
        <x:v>Macrovector Highest Score</x:v>
      </x:c>
      <x:c r="B26" s="127" t="n">
        <x:f>IFERROR(VLOOKUP(B25,Lookup!$A$2:$B$271,2,FALSE),"")</x:f>
        <x:v>6.9</x:v>
      </x:c>
    </x:row>
    <x:row r="29" ht="22" customHeight="1">
      <x:c r="A29" s="104" t="str">
        <x:v>EQ1 distance</x:v>
      </x:c>
      <x:c r="B29" s="104" t="n">
        <x:f>IFERROR(INDEX($F$56:$F$61,MATCH(1,$E$56:$E$61,0)),0)</x:f>
        <x:v>0</x:v>
      </x:c>
    </x:row>
    <x:row r="30" ht="22" customHeight="1">
      <x:c r="A30" s="104" t="str">
        <x:v>EQ2 distance</x:v>
      </x:c>
      <x:c r="B30" s="104" t="n">
        <x:f>IFERROR(INDEX($E$65:$E$67,MATCH(1,$D$65:$D$67,0)),0)</x:f>
        <x:v>0</x:v>
      </x:c>
    </x:row>
    <x:row r="31" ht="22" customHeight="1">
      <x:c r="A31" s="104" t="str">
        <x:v>EQ3+EQ6 distance</x:v>
      </x:c>
      <x:c r="B31" s="104" t="n">
        <x:f>IFERROR(INDEX($J$71:$J$81,MATCH(1,$I$71:$I$81,0)),0)</x:f>
        <x:v>3</x:v>
      </x:c>
    </x:row>
    <x:row r="32" ht="22" customHeight="1">
      <x:c r="A32" s="104" t="str">
        <x:v>EQ4 distance</x:v>
      </x:c>
      <x:c r="B32" s="104" t="n">
        <x:f>IFERROR(INDEX($I$85:$I$87,MATCH(1,$H$85:$H$87,0)),0)</x:f>
        <x:v>3</x:v>
      </x:c>
    </x:row>
    <x:row r="33" ht="22" customHeight="1">
      <x:c r="A33" s="104" t="str">
        <x:v>EQ5 distance</x:v>
      </x:c>
      <x:c r="B33" s="104" t="n">
        <x:f>IFERROR(INDEX($D$91:$D$93,MATCH(1,$C$91:$C$93,0)),0)</x:f>
        <x:v>0</x:v>
      </x:c>
    </x:row>
    <x:row r="34" ht="22" customHeight="1">
      <x:c r="A34" s="104" t="str">
        <x:v>EQ1 next-lower macro score</x:v>
      </x:c>
      <x:c r="B34" s="104" t="n">
        <x:f>IF(B19&lt;2,IFERROR(VLOOKUP((B19+1)&amp;B20&amp;B21&amp;B22&amp;B23&amp;B24,Lookup!$A$2:$B$271,2,FALSE),""),"")</x:f>
        <x:v>5.3</x:v>
      </x:c>
    </x:row>
    <x:row r="35" ht="22" customHeight="1">
      <x:c r="A35" s="104" t="str">
        <x:v>EQ2 next-lower macro score</x:v>
      </x:c>
      <x:c r="B35" s="104" t="n">
        <x:f>IF(B20&lt;1,IFERROR(VLOOKUP(B19&amp;(B20+1)&amp;B21&amp;B22&amp;B23&amp;B24,Lookup!$A$2:$B$271,2,FALSE),""),"")</x:f>
        <x:v>6.3</x:v>
      </x:c>
    </x:row>
    <x:row r="36" ht="22" customHeight="1">
      <x:c r="A36" s="104" t="str">
        <x:v>EQ3+EQ6 next-lower macro score</x:v>
      </x:c>
      <x:c r="B36" s="104" t="str">
        <x:f>IF(AND(B21=0,B24=0),IFERROR(MAX(VLOOKUP(B19&amp;B20&amp;B21&amp;B22&amp;B23&amp;(B24+1),Lookup!$A$2:$B$271,2,FALSE),VLOOKUP(B19&amp;B20&amp;(B21+1)&amp;B22&amp;B23&amp;B24,Lookup!$A$2:$B$271,2,FALSE)),""),IF(OR(AND(B21=1,B24=1),AND(B21=0,B24=1)),IFERROR(VLOOKUP(B19&amp;B20&amp;(B21+1)&amp;B22&amp;B23&amp;B24,Lookup!$A$2:$B$271,2,FALSE),""),IF(AND(B21=1,B24=0),IFERROR(VLOOKUP(B19&amp;B20&amp;B21&amp;B22&amp;B23&amp;(B24+1),Lookup!$A$2:$B$271,2,FALSE),""),IFERROR(VLOOKUP(B19&amp;B20&amp;(B21+1)&amp;B22&amp;B23&amp;(B24+1),Lookup!$A$2:$B$271,2,FALSE),""))))</x:f>
      </x:c>
    </x:row>
    <x:row r="37" ht="22" customHeight="1">
      <x:c r="A37" s="104" t="str">
        <x:v>EQ4 next-lower macro score</x:v>
      </x:c>
      <x:c r="B37" s="104" t="str">
        <x:f>IF(B22&lt;2,IFERROR(VLOOKUP(B19&amp;B20&amp;B21&amp;(B22+1)&amp;B23&amp;B24,Lookup!$A$2:$B$271,2,FALSE),""),"")</x:f>
      </x:c>
    </x:row>
    <x:row r="38" ht="22" customHeight="1">
      <x:c r="A38" s="104" t="str">
        <x:v>EQ5 next-lower macro score</x:v>
      </x:c>
      <x:c r="B38" s="104" t="n">
        <x:f>IF(B23&lt;2,IFERROR(VLOOKUP(B19&amp;B20&amp;B21&amp;B22&amp;(B23+1)&amp;B24,Lookup!$A$2:$B$271,2,FALSE),""),"")</x:f>
        <x:v>5.5</x:v>
      </x:c>
    </x:row>
    <x:row r="39" ht="22" customHeight="1">
      <x:c r="A39" s="104" t="str">
        <x:v>Notional rows / spare</x:v>
      </x:c>
      <x:c r="B39" s="104"/>
    </x:row>
    <x:row r="40" ht="22" customHeight="1">
      <x:c r="A40" s="104" t="str">
        <x:v>Normalized distance EQ1</x:v>
      </x:c>
      <x:c r="B40" s="104" t="n">
        <x:f>IF(B34="",0,(B26-B34)*(B29/IF(B19=0,1,IF(B19=1,4,5))))</x:f>
        <x:v>0</x:v>
      </x:c>
    </x:row>
    <x:row r="41" ht="22" customHeight="1">
      <x:c r="A41" s="104" t="str">
        <x:v>Normalized distance EQ2</x:v>
      </x:c>
      <x:c r="B41" s="104" t="n">
        <x:f>IF(B35="",0,(B26-B35)*(B30/IF(B20=0,1,2)))</x:f>
        <x:v>0</x:v>
      </x:c>
    </x:row>
    <x:row r="42" ht="22" customHeight="1">
      <x:c r="A42" s="104" t="str">
        <x:v>Normalized distance EQ3+EQ6</x:v>
      </x:c>
      <x:c r="B42" s="104" t="n">
        <x:f>IF(B36="",0,(B26-B36)*(B31/IF(AND(B21=0,B24=0),7,IF(AND(B21=0,B24=1),6,IF(AND(B21=1,B24=0),8,IF(AND(B21=1,B24=1),8,10))))))</x:f>
        <x:v>0</x:v>
      </x:c>
    </x:row>
    <x:row r="43" ht="22" customHeight="1">
      <x:c r="A43" s="104" t="str">
        <x:v>Normalized distance EQ4</x:v>
      </x:c>
      <x:c r="B43" s="104" t="n">
        <x:f>IF(B37="",0,(B26-B37)*(B32/IF(B22=0,6,IF(B22=1,5,4))))</x:f>
        <x:v>0</x:v>
      </x:c>
    </x:row>
    <x:row r="44" ht="22" customHeight="1">
      <x:c r="A44" s="104" t="str">
        <x:v>Normalized distance EQ5</x:v>
      </x:c>
      <x:c r="B44" s="104" t="n">
        <x:f>IF(B38="",0,0)</x:f>
        <x:v>0</x:v>
      </x:c>
    </x:row>
    <x:row r="45" ht="22" customHeight="1">
      <x:c r="A45" s="104" t="str">
        <x:v>Number of lower macros</x:v>
      </x:c>
      <x:c r="B45" s="104" t="n">
        <x:f>COUNT(B34:B38)</x:f>
        <x:v>3</x:v>
      </x:c>
    </x:row>
    <x:row r="46" ht="22" customHeight="1">
      <x:c r="A46" s="104" t="str">
        <x:v>Mean interpolation distance</x:v>
      </x:c>
      <x:c r="B46" s="104" t="n">
        <x:f>IF(B45=0,0,SUM(B40:B44)/B45)</x:f>
        <x:v>0</x:v>
      </x:c>
    </x:row>
    <x:row r="47" ht="22" customHeight="1">
      <x:c r="A47" s="104" t="str">
        <x:v>Final CVSS v4.0 score</x:v>
      </x:c>
      <x:c r="B47" s="104" t="n">
        <x:f>IF(B26="","",IF(AND(C7="N",C8="N",C9="N",C10="N",C11="N",C12="N"),0,ROUND(MAX(0,MIN(10,B26-B46)),1)))</x:f>
        <x:v>0</x:v>
      </x:c>
    </x:row>
    <x:row r="48" ht="22" customHeight="1">
      <x:c r="A48" s="104" t="str">
        <x:v>Final severity</x:v>
      </x:c>
      <x:c r="B48" s="104" t="str">
        <x:f>IF(B47=0,"None",IF(B47&lt;4,"Low",IF(B47&lt;7,"Medium",IF(B47&lt;9,"High","Critical"))))</x:f>
        <x:v>None</x:v>
      </x:c>
    </x:row>
    <x:row r="49" ht="22" customHeight="1">
      <x:c r="A49" s="104" t="str">
        <x:v>Canonical vector string</x:v>
      </x:c>
      <x:c r="B49" s="104" t="str">
        <x:f>"CVSS:4.0/AV:"&amp;Calculator!C8&amp;"/AC:"&amp;Calculator!C9&amp;"/AT:"&amp;Calculator!C10&amp;"/PR:"&amp;Calculator!C11&amp;"/UI:"&amp;Calculator!C12&amp;"/VC:"&amp;Calculator!C14&amp;"/VI:"&amp;Calculator!C15&amp;"/VA:"&amp;Calculator!C16&amp;"/SC:"&amp;Calculator!C18&amp;"/SI:"&amp;Calculator!C19&amp;"/SA:"&amp;Calculator!C20&amp;IF(Calculator!C22&lt;&gt;"X","/E:"&amp;Calculator!C22,"")&amp;IF(Calculator!C25&lt;&gt;"X","/CR:"&amp;Calculator!C25,"")&amp;IF(Calculator!C26&lt;&gt;"X","/IR:"&amp;Calculator!C26,"")&amp;IF(Calculator!C27&lt;&gt;"X","/AR:"&amp;Calculator!C27,"")&amp;IF(Calculator!C29&lt;&gt;"X","/MAV:"&amp;Calculator!C29,"")&amp;IF(Calculator!C30&lt;&gt;"X","/MAC:"&amp;Calculator!C30,"")&amp;IF(Calculator!C31&lt;&gt;"X","/MAT:"&amp;Calculator!C31,"")&amp;IF(Calculator!C32&lt;&gt;"X","/MPR:"&amp;Calculator!C32,"")&amp;IF(Calculator!C33&lt;&gt;"X","/MUI:"&amp;Calculator!C33,"")&amp;IF(Calculator!C34&lt;&gt;"X","/MVC:"&amp;Calculator!C34,"")&amp;IF(Calculator!C35&lt;&gt;"X","/MVI:"&amp;Calculator!C35,"")&amp;IF(Calculator!C36&lt;&gt;"X","/MVA:"&amp;Calculator!C36,"")&amp;IF(Calculator!C37&lt;&gt;"X","/MSC:"&amp;Calculator!C37,"")&amp;IF(Calculator!C38&lt;&gt;"X","/MSI:"&amp;Calculator!C38,"")&amp;IF(Calculator!C39&lt;&gt;"X","/MSA:"&amp;Calculator!C39,"")&amp;IF(Calculator!C41&lt;&gt;"X","/S:"&amp;Calculator!C41,"")&amp;IF(Calculator!C42&lt;&gt;"X","/AU:"&amp;Calculator!C42,"")&amp;IF(Calculator!C43&lt;&gt;"X","/R:"&amp;Calculator!C43,"")&amp;IF(Calculator!C44&lt;&gt;"X","/V:"&amp;Calculator!C44,"")&amp;IF(Calculator!C45&lt;&gt;"X","/RE:"&amp;Calculator!C45,"")&amp;IF(Calculator!C46&lt;&gt;"X","/U:"&amp;Calculator!C46,"")</x:f>
        <x:v>CVSS:4.0/AV:N/AC:L/AT:N/PR:N/UI:N/VC:N/VI:N/VA:N/SC:N/SI:N/SA:N</x:v>
      </x:c>
    </x:row>
    <x:row r="51">
      <x:c r="A51" s="140" t="str">
        <x:v>Scoring engine based on FIRST CVSS v4.0 specification and the official reference implementation's macrovector/interpolation method. Avoid editing calculation cells or lookup tables.</x:v>
      </x:c>
      <x:c r="B51" s="140"/>
      <x:c r="C51" s="140"/>
      <x:c r="D51" s="140"/>
      <x:c r="E51" s="140"/>
    </x:row>
    <x:row r="52">
      <x:c r="A52" s="140"/>
      <x:c r="B52" s="140"/>
      <x:c r="C52" s="140"/>
      <x:c r="D52" s="140"/>
      <x:c r="E52" s="140"/>
    </x:row>
    <x:row r="55">
      <x:c r="A55" s="62" t="str">
        <x:v>EQ1 level</x:v>
      </x:c>
      <x:c r="B55" s="62" t="str">
        <x:v>AV rank</x:v>
      </x:c>
      <x:c r="C55" s="62" t="str">
        <x:v>PR rank</x:v>
      </x:c>
      <x:c r="D55" s="62" t="str">
        <x:v>UI rank</x:v>
      </x:c>
      <x:c r="E55" s="62" t="str">
        <x:v>Valid candidate</x:v>
      </x:c>
      <x:c r="F55" s="62" t="str">
        <x:v>Distance</x:v>
      </x:c>
    </x:row>
    <x:row r="56">
      <x:c r="A56" t="n">
        <x:v>0</x:v>
      </x:c>
      <x:c r="B56" t="n">
        <x:v>0</x:v>
      </x:c>
      <x:c r="C56" t="n">
        <x:v>0</x:v>
      </x:c>
      <x:c r="D56" t="n">
        <x:v>0</x:v>
      </x:c>
      <x:c r="E56" t="n">
        <x:f>IF(AND(A56=$B$19,$D$2&gt;=B56,$D$5&gt;=C56,$D$6&gt;=D56),1,0)</x:f>
        <x:v>1</x:v>
      </x:c>
      <x:c r="F56" t="n">
        <x:f>IF(E56=1,($D$2-B56)+($D$5-C56)+($D$6-D56),"")</x:f>
        <x:v>0</x:v>
      </x:c>
    </x:row>
    <x:row r="57">
      <x:c r="A57" t="n">
        <x:v>1</x:v>
      </x:c>
      <x:c r="B57" t="n">
        <x:v>1</x:v>
      </x:c>
      <x:c r="C57" t="n">
        <x:v>0</x:v>
      </x:c>
      <x:c r="D57" t="n">
        <x:v>0</x:v>
      </x:c>
      <x:c r="E57" t="n">
        <x:f>IF(AND(A57=$B$19,$D$2&gt;=B57,$D$5&gt;=C57,$D$6&gt;=D57),1,0)</x:f>
        <x:v>0</x:v>
      </x:c>
      <x:c r="F57" t="str">
        <x:f>IF(E57=1,($D$2-B57)+($D$5-C57)+($D$6-D57),"")</x:f>
      </x:c>
    </x:row>
    <x:row r="58">
      <x:c r="A58" t="n">
        <x:v>1</x:v>
      </x:c>
      <x:c r="B58" t="n">
        <x:v>0</x:v>
      </x:c>
      <x:c r="C58" t="n">
        <x:v>1</x:v>
      </x:c>
      <x:c r="D58" t="n">
        <x:v>0</x:v>
      </x:c>
      <x:c r="E58" t="n">
        <x:f>IF(AND(A58=$B$19,$D$2&gt;=B58,$D$5&gt;=C58,$D$6&gt;=D58),1,0)</x:f>
        <x:v>0</x:v>
      </x:c>
      <x:c r="F58" t="str">
        <x:f>IF(E58=1,($D$2-B58)+($D$5-C58)+($D$6-D58),"")</x:f>
      </x:c>
    </x:row>
    <x:row r="59">
      <x:c r="A59" t="n">
        <x:v>1</x:v>
      </x:c>
      <x:c r="B59" t="n">
        <x:v>0</x:v>
      </x:c>
      <x:c r="C59" t="n">
        <x:v>0</x:v>
      </x:c>
      <x:c r="D59" t="n">
        <x:v>1</x:v>
      </x:c>
      <x:c r="E59" t="n">
        <x:f>IF(AND(A59=$B$19,$D$2&gt;=B59,$D$5&gt;=C59,$D$6&gt;=D59),1,0)</x:f>
        <x:v>0</x:v>
      </x:c>
      <x:c r="F59" t="str">
        <x:f>IF(E59=1,($D$2-B59)+($D$5-C59)+($D$6-D59),"")</x:f>
      </x:c>
    </x:row>
    <x:row r="60">
      <x:c r="A60" t="n">
        <x:v>2</x:v>
      </x:c>
      <x:c r="B60" t="n">
        <x:v>3</x:v>
      </x:c>
      <x:c r="C60" t="n">
        <x:v>0</x:v>
      </x:c>
      <x:c r="D60" t="n">
        <x:v>0</x:v>
      </x:c>
      <x:c r="E60" t="n">
        <x:f>IF(AND(A60=$B$19,$D$2&gt;=B60,$D$5&gt;=C60,$D$6&gt;=D60),1,0)</x:f>
        <x:v>0</x:v>
      </x:c>
      <x:c r="F60" t="str">
        <x:f>IF(E60=1,($D$2-B60)+($D$5-C60)+($D$6-D60),"")</x:f>
      </x:c>
    </x:row>
    <x:row r="61">
      <x:c r="A61" t="n">
        <x:v>2</x:v>
      </x:c>
      <x:c r="B61" t="n">
        <x:v>1</x:v>
      </x:c>
      <x:c r="C61" t="n">
        <x:v>1</x:v>
      </x:c>
      <x:c r="D61" t="n">
        <x:v>1</x:v>
      </x:c>
      <x:c r="E61" t="n">
        <x:f>IF(AND(A61=$B$19,$D$2&gt;=B61,$D$5&gt;=C61,$D$6&gt;=D61),1,0)</x:f>
        <x:v>0</x:v>
      </x:c>
      <x:c r="F61" t="str">
        <x:f>IF(E61=1,($D$2-B61)+($D$5-C61)+($D$6-D61),"")</x:f>
      </x:c>
    </x:row>
    <x:row r="64">
      <x:c r="A64" s="62" t="str">
        <x:v>EQ2 level</x:v>
      </x:c>
      <x:c r="B64" s="62" t="str">
        <x:v>AC rank</x:v>
      </x:c>
      <x:c r="C64" s="62" t="str">
        <x:v>AT rank</x:v>
      </x:c>
      <x:c r="D64" s="62" t="str">
        <x:v>Valid candidate</x:v>
      </x:c>
      <x:c r="E64" s="62" t="str">
        <x:v>Distance</x:v>
      </x:c>
    </x:row>
    <x:row r="65">
      <x:c r="A65" t="n">
        <x:v>0</x:v>
      </x:c>
      <x:c r="B65" t="n">
        <x:v>0</x:v>
      </x:c>
      <x:c r="C65" t="n">
        <x:v>0</x:v>
      </x:c>
      <x:c r="D65" t="n">
        <x:f>IF(AND(A65=$B$20,$D$3&gt;=B65,$D$4&gt;=C65),1,0)</x:f>
        <x:v>1</x:v>
      </x:c>
      <x:c r="E65" t="n">
        <x:f>IF(D65=1,($D$3-B65)+($D$4-C65),"")</x:f>
        <x:v>0</x:v>
      </x:c>
    </x:row>
    <x:row r="66">
      <x:c r="A66" t="n">
        <x:v>1</x:v>
      </x:c>
      <x:c r="B66" t="n">
        <x:v>1</x:v>
      </x:c>
      <x:c r="C66" t="n">
        <x:v>0</x:v>
      </x:c>
      <x:c r="D66" t="n">
        <x:f>IF(AND(A66=$B$20,$D$3&gt;=B66,$D$4&gt;=C66),1,0)</x:f>
        <x:v>0</x:v>
      </x:c>
      <x:c r="E66" t="str">
        <x:f>IF(D66=1,($D$3-B66)+($D$4-C66),"")</x:f>
      </x:c>
    </x:row>
    <x:row r="67">
      <x:c r="A67" t="n">
        <x:v>1</x:v>
      </x:c>
      <x:c r="B67" t="n">
        <x:v>0</x:v>
      </x:c>
      <x:c r="C67" t="n">
        <x:v>1</x:v>
      </x:c>
      <x:c r="D67" t="n">
        <x:f>IF(AND(A67=$B$20,$D$3&gt;=B67,$D$4&gt;=C67),1,0)</x:f>
        <x:v>0</x:v>
      </x:c>
      <x:c r="E67" t="str">
        <x:f>IF(D67=1,($D$3-B67)+($D$4-C67),"")</x:f>
      </x:c>
    </x:row>
    <x:row r="70">
      <x:c r="A70" s="62" t="str">
        <x:v>EQ3 level</x:v>
      </x:c>
      <x:c r="B70" s="62" t="str">
        <x:v>EQ6 level</x:v>
      </x:c>
      <x:c r="C70" s="62" t="str">
        <x:v>VC rank</x:v>
      </x:c>
      <x:c r="D70" s="62" t="str">
        <x:v>VI rank</x:v>
      </x:c>
      <x:c r="E70" s="62" t="str">
        <x:v>VA rank</x:v>
      </x:c>
      <x:c r="F70" s="62" t="str">
        <x:v>CR rank</x:v>
      </x:c>
      <x:c r="G70" s="62" t="str">
        <x:v>IR rank</x:v>
      </x:c>
      <x:c r="H70" s="62" t="str">
        <x:v>AR rank</x:v>
      </x:c>
      <x:c r="I70" s="62" t="str">
        <x:v>Valid candidate</x:v>
      </x:c>
      <x:c r="J70" s="62" t="str">
        <x:v>Distance</x:v>
      </x:c>
    </x:row>
    <x:row r="71" ht="20" customHeight="1">
      <x:c r="A71" t="n">
        <x:v>0</x:v>
      </x:c>
      <x:c r="B71" t="n">
        <x:v>0</x:v>
      </x:c>
      <x:c r="C71" t="n">
        <x:v>0</x:v>
      </x:c>
      <x:c r="D71" t="n">
        <x:v>0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f>IF(AND(A71=$B$21,B71=$B$24,$D$7&gt;=C71,$D$8&gt;=D71,$D$9&gt;=E71,$D$14&gt;=F71,$D$15&gt;=G71,$D$16&gt;=H71),1,0)</x:f>
        <x:v>0</x:v>
      </x:c>
      <x:c r="J71" t="str">
        <x:f>IF(I71=1,($D$7-C71)+($D$8-D71)+($D$9-E71)+($D$14-F71)+($D$15-G71)+($D$16-H71),"")</x:f>
      </x:c>
    </x:row>
    <x:row r="72" ht="20" customHeight="1">
      <x:c r="A72" t="n">
        <x:v>0</x:v>
      </x:c>
      <x:c r="B72" t="n">
        <x:v>1</x:v>
      </x:c>
      <x:c r="C72" t="n">
        <x:v>0</x:v>
      </x:c>
      <x:c r="D72" t="n">
        <x:v>0</x:v>
      </x:c>
      <x:c r="E72" t="n">
        <x:v>1</x:v>
      </x:c>
      <x:c r="F72" t="n">
        <x:v>1</x:v>
      </x:c>
      <x:c r="G72" t="n">
        <x:v>1</x:v>
      </x:c>
      <x:c r="H72" t="n">
        <x:v>0</x:v>
      </x:c>
      <x:c r="I72" t="n">
        <x:f>IF(AND(A72=$B$21,B72=$B$24,$D$7&gt;=C72,$D$8&gt;=D72,$D$9&gt;=E72,$D$14&gt;=F72,$D$15&gt;=G72,$D$16&gt;=H72),1,0)</x:f>
        <x:v>0</x:v>
      </x:c>
      <x:c r="J72" t="str">
        <x:f>IF(I72=1,($D$7-C72)+($D$8-D72)+($D$9-E72)+($D$14-F72)+($D$15-G72)+($D$16-H72),"")</x:f>
      </x:c>
    </x:row>
    <x:row r="73" ht="20" customHeight="1">
      <x:c r="A73" t="n">
        <x:v>0</x:v>
      </x:c>
      <x:c r="B73" t="n">
        <x:v>1</x:v>
      </x:c>
      <x:c r="C73" t="n">
        <x:v>0</x:v>
      </x:c>
      <x:c r="D73" t="n">
        <x:v>0</x:v>
      </x:c>
      <x:c r="E73" t="n">
        <x:v>0</x:v>
      </x:c>
      <x:c r="F73" t="n">
        <x:v>1</x:v>
      </x:c>
      <x:c r="G73" t="n">
        <x:v>1</x:v>
      </x:c>
      <x:c r="H73" t="n">
        <x:v>1</x:v>
      </x:c>
      <x:c r="I73" t="n">
        <x:f>IF(AND(A73=$B$21,B73=$B$24,$D$7&gt;=C73,$D$8&gt;=D73,$D$9&gt;=E73,$D$14&gt;=F73,$D$15&gt;=G73,$D$16&gt;=H73),1,0)</x:f>
        <x:v>0</x:v>
      </x:c>
      <x:c r="J73" t="str">
        <x:f>IF(I73=1,($D$7-C73)+($D$8-D73)+($D$9-E73)+($D$14-F73)+($D$15-G73)+($D$16-H73),"")</x:f>
      </x:c>
    </x:row>
    <x:row r="74" ht="20" customHeight="1">
      <x:c r="A74" t="n">
        <x:v>1</x:v>
      </x:c>
      <x:c r="B74" t="n">
        <x:v>0</x:v>
      </x:c>
      <x:c r="C74" t="n">
        <x:v>1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f>IF(AND(A74=$B$21,B74=$B$24,$D$7&gt;=C74,$D$8&gt;=D74,$D$9&gt;=E74,$D$14&gt;=F74,$D$15&gt;=G74,$D$16&gt;=H74),1,0)</x:f>
        <x:v>0</x:v>
      </x:c>
      <x:c r="J74" t="str">
        <x:f>IF(I74=1,($D$7-C74)+($D$8-D74)+($D$9-E74)+($D$14-F74)+($D$15-G74)+($D$16-H74),"")</x:f>
      </x:c>
    </x:row>
    <x:row r="75" ht="20" customHeight="1">
      <x:c r="A75" t="n">
        <x:v>1</x:v>
      </x:c>
      <x:c r="B75" t="n">
        <x:v>0</x:v>
      </x:c>
      <x:c r="C75" t="n">
        <x:v>0</x:v>
      </x:c>
      <x:c r="D75" t="n">
        <x:v>1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f>IF(AND(A75=$B$21,B75=$B$24,$D$7&gt;=C75,$D$8&gt;=D75,$D$9&gt;=E75,$D$14&gt;=F75,$D$15&gt;=G75,$D$16&gt;=H75),1,0)</x:f>
        <x:v>0</x:v>
      </x:c>
      <x:c r="J75" t="str">
        <x:f>IF(I75=1,($D$7-C75)+($D$8-D75)+($D$9-E75)+($D$14-F75)+($D$15-G75)+($D$16-H75),"")</x:f>
      </x:c>
    </x:row>
    <x:row r="76" ht="20" customHeight="1">
      <x:c r="A76" t="n">
        <x:v>1</x:v>
      </x:c>
      <x:c r="B76" t="n">
        <x:v>1</x:v>
      </x:c>
      <x:c r="C76" t="n">
        <x:v>1</x:v>
      </x:c>
      <x:c r="D76" t="n">
        <x:v>0</x:v>
      </x:c>
      <x:c r="E76" t="n">
        <x:v>1</x:v>
      </x:c>
      <x:c r="F76" t="n">
        <x:v>0</x:v>
      </x:c>
      <x:c r="G76" t="n">
        <x:v>1</x:v>
      </x:c>
      <x:c r="H76" t="n">
        <x:v>0</x:v>
      </x:c>
      <x:c r="I76" t="n">
        <x:f>IF(AND(A76=$B$21,B76=$B$24,$D$7&gt;=C76,$D$8&gt;=D76,$D$9&gt;=E76,$D$14&gt;=F76,$D$15&gt;=G76,$D$16&gt;=H76),1,0)</x:f>
        <x:v>0</x:v>
      </x:c>
      <x:c r="J76" t="str">
        <x:f>IF(I76=1,($D$7-C76)+($D$8-D76)+($D$9-E76)+($D$14-F76)+($D$15-G76)+($D$16-H76),"")</x:f>
      </x:c>
    </x:row>
    <x:row r="77" ht="20" customHeight="1">
      <x:c r="A77" t="n">
        <x:v>1</x:v>
      </x:c>
      <x:c r="B77" t="n">
        <x:v>1</x:v>
      </x:c>
      <x:c r="C77" t="n">
        <x:v>1</x:v>
      </x:c>
      <x:c r="D77" t="n">
        <x:v>0</x:v>
      </x:c>
      <x:c r="E77" t="n">
        <x:v>0</x:v>
      </x:c>
      <x:c r="F77" t="n">
        <x:v>0</x:v>
      </x:c>
      <x:c r="G77" t="n">
        <x:v>1</x:v>
      </x:c>
      <x:c r="H77" t="n">
        <x:v>1</x:v>
      </x:c>
      <x:c r="I77" t="n">
        <x:f>IF(AND(A77=$B$21,B77=$B$24,$D$7&gt;=C77,$D$8&gt;=D77,$D$9&gt;=E77,$D$14&gt;=F77,$D$15&gt;=G77,$D$16&gt;=H77),1,0)</x:f>
        <x:v>0</x:v>
      </x:c>
      <x:c r="J77" t="str">
        <x:f>IF(I77=1,($D$7-C77)+($D$8-D77)+($D$9-E77)+($D$14-F77)+($D$15-G77)+($D$16-H77),"")</x:f>
      </x:c>
    </x:row>
    <x:row r="78" ht="20" customHeight="1">
      <x:c r="A78" t="n">
        <x:v>1</x:v>
      </x:c>
      <x:c r="B78" t="n">
        <x:v>1</x:v>
      </x:c>
      <x:c r="C78" t="n">
        <x:v>0</x:v>
      </x:c>
      <x:c r="D78" t="n">
        <x:v>1</x:v>
      </x:c>
      <x:c r="E78" t="n">
        <x:v>0</x:v>
      </x:c>
      <x:c r="F78" t="n">
        <x:v>1</x:v>
      </x:c>
      <x:c r="G78" t="n">
        <x:v>0</x:v>
      </x:c>
      <x:c r="H78" t="n">
        <x:v>1</x:v>
      </x:c>
      <x:c r="I78" t="n">
        <x:f>IF(AND(A78=$B$21,B78=$B$24,$D$7&gt;=C78,$D$8&gt;=D78,$D$9&gt;=E78,$D$14&gt;=F78,$D$15&gt;=G78,$D$16&gt;=H78),1,0)</x:f>
        <x:v>0</x:v>
      </x:c>
      <x:c r="J78" t="str">
        <x:f>IF(I78=1,($D$7-C78)+($D$8-D78)+($D$9-E78)+($D$14-F78)+($D$15-G78)+($D$16-H78),"")</x:f>
      </x:c>
    </x:row>
    <x:row r="79" ht="20" customHeight="1">
      <x:c r="A79" t="n">
        <x:v>1</x:v>
      </x:c>
      <x:c r="B79" t="n">
        <x:v>1</x:v>
      </x:c>
      <x:c r="C79" t="n">
        <x:v>0</x:v>
      </x:c>
      <x:c r="D79" t="n">
        <x:v>1</x:v>
      </x:c>
      <x:c r="E79" t="n">
        <x:v>1</x:v>
      </x:c>
      <x:c r="F79" t="n">
        <x:v>1</x:v>
      </x:c>
      <x:c r="G79" t="n">
        <x:v>0</x:v>
      </x:c>
      <x:c r="H79" t="n">
        <x:v>0</x:v>
      </x:c>
      <x:c r="I79" t="n">
        <x:f>IF(AND(A79=$B$21,B79=$B$24,$D$7&gt;=C79,$D$8&gt;=D79,$D$9&gt;=E79,$D$14&gt;=F79,$D$15&gt;=G79,$D$16&gt;=H79),1,0)</x:f>
        <x:v>0</x:v>
      </x:c>
      <x:c r="J79" t="str">
        <x:f>IF(I79=1,($D$7-C79)+($D$8-D79)+($D$9-E79)+($D$14-F79)+($D$15-G79)+($D$16-H79),"")</x:f>
      </x:c>
    </x:row>
    <x:row r="80" ht="20" customHeight="1">
      <x:c r="A80" t="n">
        <x:v>1</x:v>
      </x:c>
      <x:c r="B80" t="n">
        <x:v>1</x:v>
      </x:c>
      <x:c r="C80" t="n">
        <x:v>1</x:v>
      </x:c>
      <x:c r="D80" t="n">
        <x:v>1</x:v>
      </x:c>
      <x:c r="E80" t="n">
        <x:v>0</x:v>
      </x:c>
      <x:c r="F80" t="n">
        <x:v>0</x:v>
      </x:c>
      <x:c r="G80" t="n">
        <x:v>0</x:v>
      </x:c>
      <x:c r="H80" t="n">
        <x:v>1</x:v>
      </x:c>
      <x:c r="I80" t="n">
        <x:f>IF(AND(A80=$B$21,B80=$B$24,$D$7&gt;=C80,$D$8&gt;=D80,$D$9&gt;=E80,$D$14&gt;=F80,$D$15&gt;=G80,$D$16&gt;=H80),1,0)</x:f>
        <x:v>0</x:v>
      </x:c>
      <x:c r="J80" t="str">
        <x:f>IF(I80=1,($D$7-C80)+($D$8-D80)+($D$9-E80)+($D$14-F80)+($D$15-G80)+($D$16-H80),"")</x:f>
      </x:c>
    </x:row>
    <x:row r="81" ht="20" customHeight="1">
      <x:c r="A81" t="n">
        <x:v>2</x:v>
      </x:c>
      <x:c r="B81" t="n">
        <x:v>1</x:v>
      </x:c>
      <x:c r="C81" t="n">
        <x:v>1</x:v>
      </x:c>
      <x:c r="D81" t="n">
        <x:v>1</x:v>
      </x:c>
      <x:c r="E81" t="n">
        <x:v>1</x:v>
      </x:c>
      <x:c r="F81" t="n">
        <x:v>0</x:v>
      </x:c>
      <x:c r="G81" t="n">
        <x:v>0</x:v>
      </x:c>
      <x:c r="H81" t="n">
        <x:v>0</x:v>
      </x:c>
      <x:c r="I81" t="n">
        <x:f>IF(AND(A81=$B$21,B81=$B$24,$D$7&gt;=C81,$D$8&gt;=D81,$D$9&gt;=E81,$D$14&gt;=F81,$D$15&gt;=G81,$D$16&gt;=H81),1,0)</x:f>
        <x:v>1</x:v>
      </x:c>
      <x:c r="J81" t="n">
        <x:f>IF(I81=1,($D$7-C81)+($D$8-D81)+($D$9-E81)+($D$14-F81)+($D$15-G81)+($D$16-H81),"")</x:f>
        <x:v>3</x:v>
      </x:c>
    </x:row>
    <x:row r="84">
      <x:c r="A84" s="62" t="str">
        <x:v>EQ4 level</x:v>
      </x:c>
      <x:c r="B84" s="62" t="str">
        <x:v>SC rank</x:v>
      </x:c>
      <x:c r="C84" s="62" t="str">
        <x:v>SI rank</x:v>
      </x:c>
      <x:c r="D84" s="62" t="str">
        <x:v>SA rank</x:v>
      </x:c>
      <x:c r="E84" s="62" t="str">
        <x:v>Reserved 1</x:v>
      </x:c>
      <x:c r="F84" s="62" t="str">
        <x:v>Reserved 2</x:v>
      </x:c>
      <x:c r="G84" s="62" t="str">
        <x:v>Reserved 3</x:v>
      </x:c>
      <x:c r="H84" s="62" t="str">
        <x:v>Valid candidate</x:v>
      </x:c>
      <x:c r="I84" s="62" t="str">
        <x:v>Distance</x:v>
      </x:c>
    </x:row>
    <x:row r="85">
      <x:c r="A85" t="n">
        <x:v>0</x:v>
      </x:c>
      <x:c r="B85" t="n">
        <x:v>1</x:v>
      </x:c>
      <x:c r="C85" t="n">
        <x:v>0</x:v>
      </x:c>
      <x:c r="D85" t="n">
        <x:v>0</x:v>
      </x:c>
      <x:c r="H85" t="n">
        <x:f>IF(AND(A85=$B$22,$D$10&gt;=B85,$D$11&gt;=C85,$D$12&gt;=D85),1,0)</x:f>
        <x:v>0</x:v>
      </x:c>
      <x:c r="I85" t="str">
        <x:f>IF(H85=1,($D$10-B85)+($D$11-C85)+($D$12-D85),"")</x:f>
      </x:c>
    </x:row>
    <x:row r="86">
      <x:c r="A86" t="n">
        <x:v>1</x:v>
      </x:c>
      <x:c r="B86" t="n">
        <x:v>1</x:v>
      </x:c>
      <x:c r="C86" t="n">
        <x:v>1</x:v>
      </x:c>
      <x:c r="D86" t="n">
        <x:v>1</x:v>
      </x:c>
      <x:c r="H86" t="n">
        <x:f>IF(AND(A86=$B$22,$D$10&gt;=B86,$D$11&gt;=C86,$D$12&gt;=D86),1,0)</x:f>
        <x:v>0</x:v>
      </x:c>
      <x:c r="I86" t="str">
        <x:f>IF(H86=1,($D$10-B86)+($D$11-C86)+($D$12-D86),"")</x:f>
      </x:c>
    </x:row>
    <x:row r="87">
      <x:c r="A87" t="n">
        <x:v>2</x:v>
      </x:c>
      <x:c r="B87" t="n">
        <x:v>2</x:v>
      </x:c>
      <x:c r="C87" t="n">
        <x:v>2</x:v>
      </x:c>
      <x:c r="D87" t="n">
        <x:v>2</x:v>
      </x:c>
      <x:c r="H87" t="n">
        <x:f>IF(AND(A87=$B$22,$D$10&gt;=B87,$D$11&gt;=C87,$D$12&gt;=D87),1,0)</x:f>
        <x:v>1</x:v>
      </x:c>
      <x:c r="I87" t="n">
        <x:f>IF(H87=1,($D$10-B87)+($D$11-C87)+($D$12-D87),"")</x:f>
        <x:v>3</x:v>
      </x:c>
    </x:row>
    <x:row r="90">
      <x:c r="A90" s="62" t="str">
        <x:v>EQ5 level</x:v>
      </x:c>
      <x:c r="B90" s="62" t="str">
        <x:v>E rank</x:v>
      </x:c>
      <x:c r="C90" s="62" t="str">
        <x:v>Valid candidate</x:v>
      </x:c>
      <x:c r="D90" s="62" t="str">
        <x:v>Distance</x:v>
      </x:c>
    </x:row>
    <x:row r="91">
      <x:c r="A91" t="n">
        <x:v>0</x:v>
      </x:c>
      <x:c r="B91" t="n">
        <x:v>0</x:v>
      </x:c>
      <x:c r="C91" t="n">
        <x:f>IF(AND(A91=$B$23,$D$13&gt;=B91),1,0)</x:f>
        <x:v>1</x:v>
      </x:c>
      <x:c r="D91" t="n">
        <x:f>IF(C91=1,$D$13-B91,"")</x:f>
        <x:v>0</x:v>
      </x:c>
    </x:row>
    <x:row r="92">
      <x:c r="A92" t="n">
        <x:v>1</x:v>
      </x:c>
      <x:c r="B92" t="n">
        <x:v>1</x:v>
      </x:c>
      <x:c r="C92" t="n">
        <x:f>IF(AND(A92=$B$23,$D$13&gt;=B92),1,0)</x:f>
        <x:v>0</x:v>
      </x:c>
      <x:c r="D92" t="str">
        <x:f>IF(C92=1,$D$13-B92,"")</x:f>
      </x:c>
    </x:row>
    <x:row r="93">
      <x:c r="A93" t="n">
        <x:v>2</x:v>
      </x:c>
      <x:c r="B93" t="n">
        <x:v>2</x:v>
      </x:c>
      <x:c r="C93" t="n">
        <x:f>IF(AND(A93=$B$23,$D$13&gt;=B93),1,0)</x:f>
        <x:v>0</x:v>
      </x:c>
      <x:c r="D93" t="str">
        <x:f>IF(C93=1,$D$13-B93,"")</x:f>
      </x:c>
    </x:row>
  </x:sheetData>
  <x:mergeCells>
    <x:mergeCell ref="A51:E5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4" max="4" width="16" hidden="0" customWidth="1"/>
    <x:col min="5" max="5" width="20" hidden="0" customWidth="1"/>
  </x:cols>
  <x:sheetData>
    <x:row r="1">
      <x:c r="A1" s="109" t="str">
        <x:v>Macrovector Key</x:v>
      </x:c>
      <x:c r="B1" s="109" t="str">
        <x:v>Official Highest Score</x:v>
      </x:c>
      <x:c r="D1" s="59" t="str">
        <x:v>Severity</x:v>
      </x:c>
      <x:c r="E1" s="59" t="str">
        <x:v>CVSS v4.0 range</x:v>
      </x:c>
    </x:row>
    <x:row r="2">
      <x:c r="A2" s="119" t="str">
        <x:v>000000</x:v>
      </x:c>
      <x:c r="B2" s="123" t="n">
        <x:v>10</x:v>
      </x:c>
      <x:c r="D2" t="str">
        <x:v>None</x:v>
      </x:c>
      <x:c r="E2" t="str">
        <x:v>0.0</x:v>
      </x:c>
    </x:row>
    <x:row r="3">
      <x:c r="A3" s="119" t="str">
        <x:v>000001</x:v>
      </x:c>
      <x:c r="B3" s="123" t="n">
        <x:v>9.9</x:v>
      </x:c>
      <x:c r="D3" t="str">
        <x:v>Low</x:v>
      </x:c>
      <x:c r="E3" t="str">
        <x:v>0.1 - 3.9</x:v>
      </x:c>
    </x:row>
    <x:row r="4">
      <x:c r="A4" s="119" t="str">
        <x:v>000010</x:v>
      </x:c>
      <x:c r="B4" s="123" t="n">
        <x:v>9.8</x:v>
      </x:c>
      <x:c r="D4" t="str">
        <x:v>Medium</x:v>
      </x:c>
      <x:c r="E4" t="str">
        <x:v>4.0 - 6.9</x:v>
      </x:c>
    </x:row>
    <x:row r="5">
      <x:c r="A5" s="119" t="str">
        <x:v>000011</x:v>
      </x:c>
      <x:c r="B5" s="123" t="n">
        <x:v>9.5</x:v>
      </x:c>
      <x:c r="D5" t="str">
        <x:v>High</x:v>
      </x:c>
      <x:c r="E5" t="str">
        <x:v>7.0 - 8.9</x:v>
      </x:c>
    </x:row>
    <x:row r="6">
      <x:c r="A6" s="119" t="str">
        <x:v>000020</x:v>
      </x:c>
      <x:c r="B6" s="123" t="n">
        <x:v>9.5</x:v>
      </x:c>
      <x:c r="D6" t="str">
        <x:v>Critical</x:v>
      </x:c>
      <x:c r="E6" t="str">
        <x:v>9.0 - 10.0</x:v>
      </x:c>
    </x:row>
    <x:row r="7">
      <x:c r="A7" s="119" t="str">
        <x:v>000021</x:v>
      </x:c>
      <x:c r="B7" s="123" t="n">
        <x:v>9.2</x:v>
      </x:c>
    </x:row>
    <x:row r="8">
      <x:c r="A8" s="119" t="str">
        <x:v>000100</x:v>
      </x:c>
      <x:c r="B8" s="123" t="n">
        <x:v>10</x:v>
      </x:c>
    </x:row>
    <x:row r="9">
      <x:c r="A9" s="119" t="str">
        <x:v>000101</x:v>
      </x:c>
      <x:c r="B9" s="123" t="n">
        <x:v>9.6</x:v>
      </x:c>
    </x:row>
    <x:row r="10">
      <x:c r="A10" s="119" t="str">
        <x:v>000110</x:v>
      </x:c>
      <x:c r="B10" s="123" t="n">
        <x:v>9.3</x:v>
      </x:c>
    </x:row>
    <x:row r="11">
      <x:c r="A11" s="119" t="str">
        <x:v>000111</x:v>
      </x:c>
      <x:c r="B11" s="123" t="n">
        <x:v>8.7</x:v>
      </x:c>
    </x:row>
    <x:row r="12">
      <x:c r="A12" s="119" t="str">
        <x:v>000120</x:v>
      </x:c>
      <x:c r="B12" s="123" t="n">
        <x:v>9.1</x:v>
      </x:c>
    </x:row>
    <x:row r="13">
      <x:c r="A13" s="119" t="str">
        <x:v>000121</x:v>
      </x:c>
      <x:c r="B13" s="123" t="n">
        <x:v>8.1</x:v>
      </x:c>
    </x:row>
    <x:row r="14">
      <x:c r="A14" s="119" t="str">
        <x:v>000200</x:v>
      </x:c>
      <x:c r="B14" s="123" t="n">
        <x:v>9.3</x:v>
      </x:c>
    </x:row>
    <x:row r="15">
      <x:c r="A15" s="119" t="str">
        <x:v>000201</x:v>
      </x:c>
      <x:c r="B15" s="123" t="n">
        <x:v>9</x:v>
      </x:c>
    </x:row>
    <x:row r="16">
      <x:c r="A16" s="119" t="str">
        <x:v>000210</x:v>
      </x:c>
      <x:c r="B16" s="123" t="n">
        <x:v>8.9</x:v>
      </x:c>
    </x:row>
    <x:row r="17">
      <x:c r="A17" s="119" t="str">
        <x:v>000211</x:v>
      </x:c>
      <x:c r="B17" s="123" t="n">
        <x:v>8</x:v>
      </x:c>
    </x:row>
    <x:row r="18">
      <x:c r="A18" s="119" t="str">
        <x:v>000220</x:v>
      </x:c>
      <x:c r="B18" s="123" t="n">
        <x:v>8.1</x:v>
      </x:c>
    </x:row>
    <x:row r="19">
      <x:c r="A19" s="119" t="str">
        <x:v>000221</x:v>
      </x:c>
      <x:c r="B19" s="123" t="n">
        <x:v>6.8</x:v>
      </x:c>
    </x:row>
    <x:row r="20">
      <x:c r="A20" s="119" t="str">
        <x:v>001000</x:v>
      </x:c>
      <x:c r="B20" s="123" t="n">
        <x:v>9.8</x:v>
      </x:c>
    </x:row>
    <x:row r="21">
      <x:c r="A21" s="119" t="str">
        <x:v>001001</x:v>
      </x:c>
      <x:c r="B21" s="123" t="n">
        <x:v>9.5</x:v>
      </x:c>
    </x:row>
    <x:row r="22">
      <x:c r="A22" s="119" t="str">
        <x:v>001010</x:v>
      </x:c>
      <x:c r="B22" s="123" t="n">
        <x:v>9.5</x:v>
      </x:c>
    </x:row>
    <x:row r="23">
      <x:c r="A23" s="119" t="str">
        <x:v>001011</x:v>
      </x:c>
      <x:c r="B23" s="123" t="n">
        <x:v>9.2</x:v>
      </x:c>
    </x:row>
    <x:row r="24">
      <x:c r="A24" s="119" t="str">
        <x:v>001020</x:v>
      </x:c>
      <x:c r="B24" s="123" t="n">
        <x:v>9</x:v>
      </x:c>
    </x:row>
    <x:row r="25">
      <x:c r="A25" s="119" t="str">
        <x:v>001021</x:v>
      </x:c>
      <x:c r="B25" s="123" t="n">
        <x:v>8.4</x:v>
      </x:c>
    </x:row>
    <x:row r="26">
      <x:c r="A26" s="119" t="str">
        <x:v>001100</x:v>
      </x:c>
      <x:c r="B26" s="123" t="n">
        <x:v>9.3</x:v>
      </x:c>
    </x:row>
    <x:row r="27">
      <x:c r="A27" s="119" t="str">
        <x:v>001101</x:v>
      </x:c>
      <x:c r="B27" s="123" t="n">
        <x:v>9.2</x:v>
      </x:c>
    </x:row>
    <x:row r="28">
      <x:c r="A28" s="119" t="str">
        <x:v>001110</x:v>
      </x:c>
      <x:c r="B28" s="123" t="n">
        <x:v>8.9</x:v>
      </x:c>
    </x:row>
    <x:row r="29">
      <x:c r="A29" s="119" t="str">
        <x:v>001111</x:v>
      </x:c>
      <x:c r="B29" s="123" t="n">
        <x:v>8.1</x:v>
      </x:c>
    </x:row>
    <x:row r="30">
      <x:c r="A30" s="119" t="str">
        <x:v>001120</x:v>
      </x:c>
      <x:c r="B30" s="123" t="n">
        <x:v>8.1</x:v>
      </x:c>
    </x:row>
    <x:row r="31">
      <x:c r="A31" s="119" t="str">
        <x:v>001121</x:v>
      </x:c>
      <x:c r="B31" s="123" t="n">
        <x:v>6.5</x:v>
      </x:c>
    </x:row>
    <x:row r="32">
      <x:c r="A32" s="119" t="str">
        <x:v>001200</x:v>
      </x:c>
      <x:c r="B32" s="123" t="n">
        <x:v>8.8</x:v>
      </x:c>
    </x:row>
    <x:row r="33">
      <x:c r="A33" s="119" t="str">
        <x:v>001201</x:v>
      </x:c>
      <x:c r="B33" s="123" t="n">
        <x:v>8</x:v>
      </x:c>
    </x:row>
    <x:row r="34">
      <x:c r="A34" s="119" t="str">
        <x:v>001210</x:v>
      </x:c>
      <x:c r="B34" s="123" t="n">
        <x:v>7.8</x:v>
      </x:c>
    </x:row>
    <x:row r="35">
      <x:c r="A35" s="119" t="str">
        <x:v>001211</x:v>
      </x:c>
      <x:c r="B35" s="123" t="n">
        <x:v>7</x:v>
      </x:c>
    </x:row>
    <x:row r="36">
      <x:c r="A36" s="119" t="str">
        <x:v>001220</x:v>
      </x:c>
      <x:c r="B36" s="123" t="n">
        <x:v>6.9</x:v>
      </x:c>
    </x:row>
    <x:row r="37">
      <x:c r="A37" s="119" t="str">
        <x:v>001221</x:v>
      </x:c>
      <x:c r="B37" s="123" t="n">
        <x:v>4.8</x:v>
      </x:c>
    </x:row>
    <x:row r="38">
      <x:c r="A38" s="119" t="str">
        <x:v>002001</x:v>
      </x:c>
      <x:c r="B38" s="123" t="n">
        <x:v>9.2</x:v>
      </x:c>
    </x:row>
    <x:row r="39">
      <x:c r="A39" s="119" t="str">
        <x:v>002011</x:v>
      </x:c>
      <x:c r="B39" s="123" t="n">
        <x:v>8.2</x:v>
      </x:c>
    </x:row>
    <x:row r="40">
      <x:c r="A40" s="119" t="str">
        <x:v>002021</x:v>
      </x:c>
      <x:c r="B40" s="123" t="n">
        <x:v>7.2</x:v>
      </x:c>
    </x:row>
    <x:row r="41">
      <x:c r="A41" s="119" t="str">
        <x:v>002101</x:v>
      </x:c>
      <x:c r="B41" s="123" t="n">
        <x:v>7.9</x:v>
      </x:c>
    </x:row>
    <x:row r="42">
      <x:c r="A42" s="119" t="str">
        <x:v>002111</x:v>
      </x:c>
      <x:c r="B42" s="123" t="n">
        <x:v>6.9</x:v>
      </x:c>
    </x:row>
    <x:row r="43">
      <x:c r="A43" s="119" t="str">
        <x:v>002121</x:v>
      </x:c>
      <x:c r="B43" s="123" t="n">
        <x:v>5</x:v>
      </x:c>
    </x:row>
    <x:row r="44">
      <x:c r="A44" s="119" t="str">
        <x:v>002201</x:v>
      </x:c>
      <x:c r="B44" s="123" t="n">
        <x:v>6.9</x:v>
      </x:c>
    </x:row>
    <x:row r="45">
      <x:c r="A45" s="119" t="str">
        <x:v>002211</x:v>
      </x:c>
      <x:c r="B45" s="123" t="n">
        <x:v>5.5</x:v>
      </x:c>
    </x:row>
    <x:row r="46">
      <x:c r="A46" s="119" t="str">
        <x:v>002221</x:v>
      </x:c>
      <x:c r="B46" s="123" t="n">
        <x:v>2.7</x:v>
      </x:c>
    </x:row>
    <x:row r="47">
      <x:c r="A47" s="119" t="str">
        <x:v>010000</x:v>
      </x:c>
      <x:c r="B47" s="123" t="n">
        <x:v>9.9</x:v>
      </x:c>
    </x:row>
    <x:row r="48">
      <x:c r="A48" s="119" t="str">
        <x:v>010001</x:v>
      </x:c>
      <x:c r="B48" s="123" t="n">
        <x:v>9.7</x:v>
      </x:c>
    </x:row>
    <x:row r="49">
      <x:c r="A49" s="119" t="str">
        <x:v>010010</x:v>
      </x:c>
      <x:c r="B49" s="123" t="n">
        <x:v>9.5</x:v>
      </x:c>
    </x:row>
    <x:row r="50">
      <x:c r="A50" s="119" t="str">
        <x:v>010011</x:v>
      </x:c>
      <x:c r="B50" s="123" t="n">
        <x:v>9.2</x:v>
      </x:c>
    </x:row>
    <x:row r="51">
      <x:c r="A51" s="119" t="str">
        <x:v>010020</x:v>
      </x:c>
      <x:c r="B51" s="123" t="n">
        <x:v>9.2</x:v>
      </x:c>
    </x:row>
    <x:row r="52">
      <x:c r="A52" s="119" t="str">
        <x:v>010021</x:v>
      </x:c>
      <x:c r="B52" s="123" t="n">
        <x:v>8.5</x:v>
      </x:c>
    </x:row>
    <x:row r="53">
      <x:c r="A53" s="119" t="str">
        <x:v>010100</x:v>
      </x:c>
      <x:c r="B53" s="123" t="n">
        <x:v>9.5</x:v>
      </x:c>
    </x:row>
    <x:row r="54">
      <x:c r="A54" s="119" t="str">
        <x:v>010101</x:v>
      </x:c>
      <x:c r="B54" s="123" t="n">
        <x:v>9.1</x:v>
      </x:c>
    </x:row>
    <x:row r="55">
      <x:c r="A55" s="119" t="str">
        <x:v>010110</x:v>
      </x:c>
      <x:c r="B55" s="123" t="n">
        <x:v>9</x:v>
      </x:c>
    </x:row>
    <x:row r="56">
      <x:c r="A56" s="119" t="str">
        <x:v>010111</x:v>
      </x:c>
      <x:c r="B56" s="123" t="n">
        <x:v>8.3</x:v>
      </x:c>
    </x:row>
    <x:row r="57">
      <x:c r="A57" s="119" t="str">
        <x:v>010120</x:v>
      </x:c>
      <x:c r="B57" s="123" t="n">
        <x:v>8.4</x:v>
      </x:c>
    </x:row>
    <x:row r="58">
      <x:c r="A58" s="119" t="str">
        <x:v>010121</x:v>
      </x:c>
      <x:c r="B58" s="123" t="n">
        <x:v>7.1</x:v>
      </x:c>
    </x:row>
    <x:row r="59">
      <x:c r="A59" s="119" t="str">
        <x:v>010200</x:v>
      </x:c>
      <x:c r="B59" s="123" t="n">
        <x:v>9.2</x:v>
      </x:c>
    </x:row>
    <x:row r="60">
      <x:c r="A60" s="119" t="str">
        <x:v>010201</x:v>
      </x:c>
      <x:c r="B60" s="123" t="n">
        <x:v>8.1</x:v>
      </x:c>
    </x:row>
    <x:row r="61">
      <x:c r="A61" s="119" t="str">
        <x:v>010210</x:v>
      </x:c>
      <x:c r="B61" s="123" t="n">
        <x:v>8.2</x:v>
      </x:c>
    </x:row>
    <x:row r="62">
      <x:c r="A62" s="119" t="str">
        <x:v>010211</x:v>
      </x:c>
      <x:c r="B62" s="123" t="n">
        <x:v>7.1</x:v>
      </x:c>
    </x:row>
    <x:row r="63">
      <x:c r="A63" s="119" t="str">
        <x:v>010220</x:v>
      </x:c>
      <x:c r="B63" s="123" t="n">
        <x:v>7.2</x:v>
      </x:c>
    </x:row>
    <x:row r="64">
      <x:c r="A64" s="119" t="str">
        <x:v>010221</x:v>
      </x:c>
      <x:c r="B64" s="123" t="n">
        <x:v>5.3</x:v>
      </x:c>
    </x:row>
    <x:row r="65">
      <x:c r="A65" s="119" t="str">
        <x:v>011000</x:v>
      </x:c>
      <x:c r="B65" s="123" t="n">
        <x:v>9.5</x:v>
      </x:c>
    </x:row>
    <x:row r="66">
      <x:c r="A66" s="119" t="str">
        <x:v>011001</x:v>
      </x:c>
      <x:c r="B66" s="123" t="n">
        <x:v>9.3</x:v>
      </x:c>
    </x:row>
    <x:row r="67">
      <x:c r="A67" s="119" t="str">
        <x:v>011010</x:v>
      </x:c>
      <x:c r="B67" s="123" t="n">
        <x:v>9.2</x:v>
      </x:c>
    </x:row>
    <x:row r="68">
      <x:c r="A68" s="119" t="str">
        <x:v>011011</x:v>
      </x:c>
      <x:c r="B68" s="123" t="n">
        <x:v>8.5</x:v>
      </x:c>
    </x:row>
    <x:row r="69">
      <x:c r="A69" s="119" t="str">
        <x:v>011020</x:v>
      </x:c>
      <x:c r="B69" s="123" t="n">
        <x:v>8.5</x:v>
      </x:c>
    </x:row>
    <x:row r="70">
      <x:c r="A70" s="119" t="str">
        <x:v>011021</x:v>
      </x:c>
      <x:c r="B70" s="123" t="n">
        <x:v>7.3</x:v>
      </x:c>
    </x:row>
    <x:row r="71">
      <x:c r="A71" s="119" t="str">
        <x:v>011100</x:v>
      </x:c>
      <x:c r="B71" s="123" t="n">
        <x:v>9.2</x:v>
      </x:c>
    </x:row>
    <x:row r="72">
      <x:c r="A72" s="119" t="str">
        <x:v>011101</x:v>
      </x:c>
      <x:c r="B72" s="123" t="n">
        <x:v>8.2</x:v>
      </x:c>
    </x:row>
    <x:row r="73">
      <x:c r="A73" s="119" t="str">
        <x:v>011110</x:v>
      </x:c>
      <x:c r="B73" s="123" t="n">
        <x:v>8</x:v>
      </x:c>
    </x:row>
    <x:row r="74">
      <x:c r="A74" s="119" t="str">
        <x:v>011111</x:v>
      </x:c>
      <x:c r="B74" s="123" t="n">
        <x:v>7.2</x:v>
      </x:c>
    </x:row>
    <x:row r="75">
      <x:c r="A75" s="119" t="str">
        <x:v>011120</x:v>
      </x:c>
      <x:c r="B75" s="123" t="n">
        <x:v>7</x:v>
      </x:c>
    </x:row>
    <x:row r="76">
      <x:c r="A76" s="119" t="str">
        <x:v>011121</x:v>
      </x:c>
      <x:c r="B76" s="123" t="n">
        <x:v>5.9</x:v>
      </x:c>
    </x:row>
    <x:row r="77">
      <x:c r="A77" s="119" t="str">
        <x:v>011200</x:v>
      </x:c>
      <x:c r="B77" s="123" t="n">
        <x:v>8.4</x:v>
      </x:c>
    </x:row>
    <x:row r="78">
      <x:c r="A78" s="119" t="str">
        <x:v>011201</x:v>
      </x:c>
      <x:c r="B78" s="123" t="n">
        <x:v>7</x:v>
      </x:c>
    </x:row>
    <x:row r="79">
      <x:c r="A79" s="119" t="str">
        <x:v>011210</x:v>
      </x:c>
      <x:c r="B79" s="123" t="n">
        <x:v>7.1</x:v>
      </x:c>
    </x:row>
    <x:row r="80">
      <x:c r="A80" s="119" t="str">
        <x:v>011211</x:v>
      </x:c>
      <x:c r="B80" s="123" t="n">
        <x:v>5.2</x:v>
      </x:c>
    </x:row>
    <x:row r="81">
      <x:c r="A81" s="119" t="str">
        <x:v>011220</x:v>
      </x:c>
      <x:c r="B81" s="123" t="n">
        <x:v>5</x:v>
      </x:c>
    </x:row>
    <x:row r="82">
      <x:c r="A82" s="119" t="str">
        <x:v>011221</x:v>
      </x:c>
      <x:c r="B82" s="123" t="n">
        <x:v>3</x:v>
      </x:c>
    </x:row>
    <x:row r="83">
      <x:c r="A83" s="119" t="str">
        <x:v>012001</x:v>
      </x:c>
      <x:c r="B83" s="123" t="n">
        <x:v>8.6</x:v>
      </x:c>
    </x:row>
    <x:row r="84">
      <x:c r="A84" s="119" t="str">
        <x:v>012011</x:v>
      </x:c>
      <x:c r="B84" s="123" t="n">
        <x:v>7.5</x:v>
      </x:c>
    </x:row>
    <x:row r="85">
      <x:c r="A85" s="119" t="str">
        <x:v>012021</x:v>
      </x:c>
      <x:c r="B85" s="123" t="n">
        <x:v>5.2</x:v>
      </x:c>
    </x:row>
    <x:row r="86">
      <x:c r="A86" s="119" t="str">
        <x:v>012101</x:v>
      </x:c>
      <x:c r="B86" s="123" t="n">
        <x:v>7.1</x:v>
      </x:c>
    </x:row>
    <x:row r="87">
      <x:c r="A87" s="119" t="str">
        <x:v>012111</x:v>
      </x:c>
      <x:c r="B87" s="123" t="n">
        <x:v>5.2</x:v>
      </x:c>
    </x:row>
    <x:row r="88">
      <x:c r="A88" s="119" t="str">
        <x:v>012121</x:v>
      </x:c>
      <x:c r="B88" s="123" t="n">
        <x:v>2.9</x:v>
      </x:c>
    </x:row>
    <x:row r="89">
      <x:c r="A89" s="119" t="str">
        <x:v>012201</x:v>
      </x:c>
      <x:c r="B89" s="123" t="n">
        <x:v>6.3</x:v>
      </x:c>
    </x:row>
    <x:row r="90">
      <x:c r="A90" s="119" t="str">
        <x:v>012211</x:v>
      </x:c>
      <x:c r="B90" s="123" t="n">
        <x:v>2.9</x:v>
      </x:c>
    </x:row>
    <x:row r="91">
      <x:c r="A91" s="119" t="str">
        <x:v>012221</x:v>
      </x:c>
      <x:c r="B91" s="123" t="n">
        <x:v>1.7</x:v>
      </x:c>
    </x:row>
    <x:row r="92">
      <x:c r="A92" s="119" t="str">
        <x:v>100000</x:v>
      </x:c>
      <x:c r="B92" s="123" t="n">
        <x:v>9.8</x:v>
      </x:c>
    </x:row>
    <x:row r="93">
      <x:c r="A93" s="119" t="str">
        <x:v>100001</x:v>
      </x:c>
      <x:c r="B93" s="123" t="n">
        <x:v>9.5</x:v>
      </x:c>
    </x:row>
    <x:row r="94">
      <x:c r="A94" s="119" t="str">
        <x:v>100010</x:v>
      </x:c>
      <x:c r="B94" s="123" t="n">
        <x:v>9.4</x:v>
      </x:c>
    </x:row>
    <x:row r="95">
      <x:c r="A95" s="119" t="str">
        <x:v>100011</x:v>
      </x:c>
      <x:c r="B95" s="123" t="n">
        <x:v>8.7</x:v>
      </x:c>
    </x:row>
    <x:row r="96">
      <x:c r="A96" s="119" t="str">
        <x:v>100020</x:v>
      </x:c>
      <x:c r="B96" s="123" t="n">
        <x:v>9.1</x:v>
      </x:c>
    </x:row>
    <x:row r="97">
      <x:c r="A97" s="119" t="str">
        <x:v>100021</x:v>
      </x:c>
      <x:c r="B97" s="123" t="n">
        <x:v>8.1</x:v>
      </x:c>
    </x:row>
    <x:row r="98">
      <x:c r="A98" s="119" t="str">
        <x:v>100100</x:v>
      </x:c>
      <x:c r="B98" s="123" t="n">
        <x:v>9.4</x:v>
      </x:c>
    </x:row>
    <x:row r="99">
      <x:c r="A99" s="119" t="str">
        <x:v>100101</x:v>
      </x:c>
      <x:c r="B99" s="123" t="n">
        <x:v>8.9</x:v>
      </x:c>
    </x:row>
    <x:row r="100">
      <x:c r="A100" s="119" t="str">
        <x:v>100110</x:v>
      </x:c>
      <x:c r="B100" s="123" t="n">
        <x:v>8.6</x:v>
      </x:c>
    </x:row>
    <x:row r="101">
      <x:c r="A101" s="119" t="str">
        <x:v>100111</x:v>
      </x:c>
      <x:c r="B101" s="123" t="n">
        <x:v>7.4</x:v>
      </x:c>
    </x:row>
    <x:row r="102">
      <x:c r="A102" s="119" t="str">
        <x:v>100120</x:v>
      </x:c>
      <x:c r="B102" s="123" t="n">
        <x:v>7.7</x:v>
      </x:c>
    </x:row>
    <x:row r="103">
      <x:c r="A103" s="119" t="str">
        <x:v>100121</x:v>
      </x:c>
      <x:c r="B103" s="123" t="n">
        <x:v>6.4</x:v>
      </x:c>
    </x:row>
    <x:row r="104">
      <x:c r="A104" s="119" t="str">
        <x:v>100200</x:v>
      </x:c>
      <x:c r="B104" s="123" t="n">
        <x:v>8.7</x:v>
      </x:c>
    </x:row>
    <x:row r="105">
      <x:c r="A105" s="119" t="str">
        <x:v>100201</x:v>
      </x:c>
      <x:c r="B105" s="123" t="n">
        <x:v>7.5</x:v>
      </x:c>
    </x:row>
    <x:row r="106">
      <x:c r="A106" s="119" t="str">
        <x:v>100210</x:v>
      </x:c>
      <x:c r="B106" s="123" t="n">
        <x:v>7.4</x:v>
      </x:c>
    </x:row>
    <x:row r="107">
      <x:c r="A107" s="119" t="str">
        <x:v>100211</x:v>
      </x:c>
      <x:c r="B107" s="123" t="n">
        <x:v>6.3</x:v>
      </x:c>
    </x:row>
    <x:row r="108">
      <x:c r="A108" s="119" t="str">
        <x:v>100220</x:v>
      </x:c>
      <x:c r="B108" s="123" t="n">
        <x:v>6.3</x:v>
      </x:c>
    </x:row>
    <x:row r="109">
      <x:c r="A109" s="119" t="str">
        <x:v>100221</x:v>
      </x:c>
      <x:c r="B109" s="123" t="n">
        <x:v>4.9</x:v>
      </x:c>
    </x:row>
    <x:row r="110">
      <x:c r="A110" s="119" t="str">
        <x:v>101000</x:v>
      </x:c>
      <x:c r="B110" s="123" t="n">
        <x:v>9.4</x:v>
      </x:c>
    </x:row>
    <x:row r="111">
      <x:c r="A111" s="119" t="str">
        <x:v>101001</x:v>
      </x:c>
      <x:c r="B111" s="123" t="n">
        <x:v>8.9</x:v>
      </x:c>
    </x:row>
    <x:row r="112">
      <x:c r="A112" s="119" t="str">
        <x:v>101010</x:v>
      </x:c>
      <x:c r="B112" s="123" t="n">
        <x:v>8.8</x:v>
      </x:c>
    </x:row>
    <x:row r="113">
      <x:c r="A113" s="119" t="str">
        <x:v>101011</x:v>
      </x:c>
      <x:c r="B113" s="123" t="n">
        <x:v>7.7</x:v>
      </x:c>
    </x:row>
    <x:row r="114">
      <x:c r="A114" s="119" t="str">
        <x:v>101020</x:v>
      </x:c>
      <x:c r="B114" s="123" t="n">
        <x:v>7.6</x:v>
      </x:c>
    </x:row>
    <x:row r="115">
      <x:c r="A115" s="119" t="str">
        <x:v>101021</x:v>
      </x:c>
      <x:c r="B115" s="123" t="n">
        <x:v>6.7</x:v>
      </x:c>
    </x:row>
    <x:row r="116">
      <x:c r="A116" s="119" t="str">
        <x:v>101100</x:v>
      </x:c>
      <x:c r="B116" s="123" t="n">
        <x:v>8.6</x:v>
      </x:c>
    </x:row>
    <x:row r="117">
      <x:c r="A117" s="119" t="str">
        <x:v>101101</x:v>
      </x:c>
      <x:c r="B117" s="123" t="n">
        <x:v>7.6</x:v>
      </x:c>
    </x:row>
    <x:row r="118">
      <x:c r="A118" s="119" t="str">
        <x:v>101110</x:v>
      </x:c>
      <x:c r="B118" s="123" t="n">
        <x:v>7.4</x:v>
      </x:c>
    </x:row>
    <x:row r="119">
      <x:c r="A119" s="119" t="str">
        <x:v>101111</x:v>
      </x:c>
      <x:c r="B119" s="123" t="n">
        <x:v>5.8</x:v>
      </x:c>
    </x:row>
    <x:row r="120">
      <x:c r="A120" s="119" t="str">
        <x:v>101120</x:v>
      </x:c>
      <x:c r="B120" s="123" t="n">
        <x:v>5.9</x:v>
      </x:c>
    </x:row>
    <x:row r="121">
      <x:c r="A121" s="119" t="str">
        <x:v>101121</x:v>
      </x:c>
      <x:c r="B121" s="123" t="n">
        <x:v>5</x:v>
      </x:c>
    </x:row>
    <x:row r="122">
      <x:c r="A122" s="119" t="str">
        <x:v>101200</x:v>
      </x:c>
      <x:c r="B122" s="123" t="n">
        <x:v>7.2</x:v>
      </x:c>
    </x:row>
    <x:row r="123">
      <x:c r="A123" s="119" t="str">
        <x:v>101201</x:v>
      </x:c>
      <x:c r="B123" s="123" t="n">
        <x:v>5.7</x:v>
      </x:c>
    </x:row>
    <x:row r="124">
      <x:c r="A124" s="119" t="str">
        <x:v>101210</x:v>
      </x:c>
      <x:c r="B124" s="123" t="n">
        <x:v>5.7</x:v>
      </x:c>
    </x:row>
    <x:row r="125">
      <x:c r="A125" s="119" t="str">
        <x:v>101211</x:v>
      </x:c>
      <x:c r="B125" s="123" t="n">
        <x:v>5.2</x:v>
      </x:c>
    </x:row>
    <x:row r="126">
      <x:c r="A126" s="119" t="str">
        <x:v>101220</x:v>
      </x:c>
      <x:c r="B126" s="123" t="n">
        <x:v>5.2</x:v>
      </x:c>
    </x:row>
    <x:row r="127">
      <x:c r="A127" s="119" t="str">
        <x:v>101221</x:v>
      </x:c>
      <x:c r="B127" s="123" t="n">
        <x:v>2.5</x:v>
      </x:c>
    </x:row>
    <x:row r="128">
      <x:c r="A128" s="119" t="str">
        <x:v>102001</x:v>
      </x:c>
      <x:c r="B128" s="123" t="n">
        <x:v>8.3</x:v>
      </x:c>
    </x:row>
    <x:row r="129">
      <x:c r="A129" s="119" t="str">
        <x:v>102011</x:v>
      </x:c>
      <x:c r="B129" s="123" t="n">
        <x:v>7</x:v>
      </x:c>
    </x:row>
    <x:row r="130">
      <x:c r="A130" s="119" t="str">
        <x:v>102021</x:v>
      </x:c>
      <x:c r="B130" s="123" t="n">
        <x:v>5.4</x:v>
      </x:c>
    </x:row>
    <x:row r="131">
      <x:c r="A131" s="119" t="str">
        <x:v>102101</x:v>
      </x:c>
      <x:c r="B131" s="123" t="n">
        <x:v>6.5</x:v>
      </x:c>
    </x:row>
    <x:row r="132">
      <x:c r="A132" s="119" t="str">
        <x:v>102111</x:v>
      </x:c>
      <x:c r="B132" s="123" t="n">
        <x:v>5.8</x:v>
      </x:c>
    </x:row>
    <x:row r="133">
      <x:c r="A133" s="119" t="str">
        <x:v>102121</x:v>
      </x:c>
      <x:c r="B133" s="123" t="n">
        <x:v>2.6</x:v>
      </x:c>
    </x:row>
    <x:row r="134">
      <x:c r="A134" s="119" t="str">
        <x:v>102201</x:v>
      </x:c>
      <x:c r="B134" s="123" t="n">
        <x:v>5.3</x:v>
      </x:c>
    </x:row>
    <x:row r="135">
      <x:c r="A135" s="119" t="str">
        <x:v>102211</x:v>
      </x:c>
      <x:c r="B135" s="123" t="n">
        <x:v>2.1</x:v>
      </x:c>
    </x:row>
    <x:row r="136">
      <x:c r="A136" s="119" t="str">
        <x:v>102221</x:v>
      </x:c>
      <x:c r="B136" s="123" t="n">
        <x:v>1.3</x:v>
      </x:c>
    </x:row>
    <x:row r="137">
      <x:c r="A137" s="119" t="str">
        <x:v>110000</x:v>
      </x:c>
      <x:c r="B137" s="123" t="n">
        <x:v>9.5</x:v>
      </x:c>
    </x:row>
    <x:row r="138">
      <x:c r="A138" s="119" t="str">
        <x:v>110001</x:v>
      </x:c>
      <x:c r="B138" s="123" t="n">
        <x:v>9</x:v>
      </x:c>
    </x:row>
    <x:row r="139">
      <x:c r="A139" s="119" t="str">
        <x:v>110010</x:v>
      </x:c>
      <x:c r="B139" s="123" t="n">
        <x:v>8.8</x:v>
      </x:c>
    </x:row>
    <x:row r="140">
      <x:c r="A140" s="119" t="str">
        <x:v>110011</x:v>
      </x:c>
      <x:c r="B140" s="123" t="n">
        <x:v>7.6</x:v>
      </x:c>
    </x:row>
    <x:row r="141">
      <x:c r="A141" s="119" t="str">
        <x:v>110020</x:v>
      </x:c>
      <x:c r="B141" s="123" t="n">
        <x:v>7.6</x:v>
      </x:c>
    </x:row>
    <x:row r="142">
      <x:c r="A142" s="119" t="str">
        <x:v>110021</x:v>
      </x:c>
      <x:c r="B142" s="123" t="n">
        <x:v>7</x:v>
      </x:c>
    </x:row>
    <x:row r="143">
      <x:c r="A143" s="119" t="str">
        <x:v>110100</x:v>
      </x:c>
      <x:c r="B143" s="123" t="n">
        <x:v>9</x:v>
      </x:c>
    </x:row>
    <x:row r="144">
      <x:c r="A144" s="119" t="str">
        <x:v>110101</x:v>
      </x:c>
      <x:c r="B144" s="123" t="n">
        <x:v>7.7</x:v>
      </x:c>
    </x:row>
    <x:row r="145">
      <x:c r="A145" s="119" t="str">
        <x:v>110110</x:v>
      </x:c>
      <x:c r="B145" s="123" t="n">
        <x:v>7.5</x:v>
      </x:c>
    </x:row>
    <x:row r="146">
      <x:c r="A146" s="119" t="str">
        <x:v>110111</x:v>
      </x:c>
      <x:c r="B146" s="123" t="n">
        <x:v>6.2</x:v>
      </x:c>
    </x:row>
    <x:row r="147">
      <x:c r="A147" s="119" t="str">
        <x:v>110120</x:v>
      </x:c>
      <x:c r="B147" s="123" t="n">
        <x:v>6.1</x:v>
      </x:c>
    </x:row>
    <x:row r="148">
      <x:c r="A148" s="119" t="str">
        <x:v>110121</x:v>
      </x:c>
      <x:c r="B148" s="123" t="n">
        <x:v>5.3</x:v>
      </x:c>
    </x:row>
    <x:row r="149">
      <x:c r="A149" s="119" t="str">
        <x:v>110200</x:v>
      </x:c>
      <x:c r="B149" s="123" t="n">
        <x:v>7.7</x:v>
      </x:c>
    </x:row>
    <x:row r="150">
      <x:c r="A150" s="119" t="str">
        <x:v>110201</x:v>
      </x:c>
      <x:c r="B150" s="123" t="n">
        <x:v>6.6</x:v>
      </x:c>
    </x:row>
    <x:row r="151">
      <x:c r="A151" s="119" t="str">
        <x:v>110210</x:v>
      </x:c>
      <x:c r="B151" s="123" t="n">
        <x:v>6.8</x:v>
      </x:c>
    </x:row>
    <x:row r="152">
      <x:c r="A152" s="119" t="str">
        <x:v>110211</x:v>
      </x:c>
      <x:c r="B152" s="123" t="n">
        <x:v>5.9</x:v>
      </x:c>
    </x:row>
    <x:row r="153">
      <x:c r="A153" s="119" t="str">
        <x:v>110220</x:v>
      </x:c>
      <x:c r="B153" s="123" t="n">
        <x:v>5.2</x:v>
      </x:c>
    </x:row>
    <x:row r="154">
      <x:c r="A154" s="119" t="str">
        <x:v>110221</x:v>
      </x:c>
      <x:c r="B154" s="123" t="n">
        <x:v>3</x:v>
      </x:c>
    </x:row>
    <x:row r="155">
      <x:c r="A155" s="119" t="str">
        <x:v>111000</x:v>
      </x:c>
      <x:c r="B155" s="123" t="n">
        <x:v>8.9</x:v>
      </x:c>
    </x:row>
    <x:row r="156">
      <x:c r="A156" s="119" t="str">
        <x:v>111001</x:v>
      </x:c>
      <x:c r="B156" s="123" t="n">
        <x:v>7.8</x:v>
      </x:c>
    </x:row>
    <x:row r="157">
      <x:c r="A157" s="119" t="str">
        <x:v>111010</x:v>
      </x:c>
      <x:c r="B157" s="123" t="n">
        <x:v>7.6</x:v>
      </x:c>
    </x:row>
    <x:row r="158">
      <x:c r="A158" s="119" t="str">
        <x:v>111011</x:v>
      </x:c>
      <x:c r="B158" s="123" t="n">
        <x:v>6.7</x:v>
      </x:c>
    </x:row>
    <x:row r="159">
      <x:c r="A159" s="119" t="str">
        <x:v>111020</x:v>
      </x:c>
      <x:c r="B159" s="123" t="n">
        <x:v>6.2</x:v>
      </x:c>
    </x:row>
    <x:row r="160">
      <x:c r="A160" s="119" t="str">
        <x:v>111021</x:v>
      </x:c>
      <x:c r="B160" s="123" t="n">
        <x:v>5.8</x:v>
      </x:c>
    </x:row>
    <x:row r="161">
      <x:c r="A161" s="119" t="str">
        <x:v>111100</x:v>
      </x:c>
      <x:c r="B161" s="123" t="n">
        <x:v>7.4</x:v>
      </x:c>
    </x:row>
    <x:row r="162">
      <x:c r="A162" s="119" t="str">
        <x:v>111101</x:v>
      </x:c>
      <x:c r="B162" s="123" t="n">
        <x:v>5.9</x:v>
      </x:c>
    </x:row>
    <x:row r="163">
      <x:c r="A163" s="119" t="str">
        <x:v>111110</x:v>
      </x:c>
      <x:c r="B163" s="123" t="n">
        <x:v>5.7</x:v>
      </x:c>
    </x:row>
    <x:row r="164">
      <x:c r="A164" s="119" t="str">
        <x:v>111111</x:v>
      </x:c>
      <x:c r="B164" s="123" t="n">
        <x:v>5.7</x:v>
      </x:c>
    </x:row>
    <x:row r="165">
      <x:c r="A165" s="119" t="str">
        <x:v>111120</x:v>
      </x:c>
      <x:c r="B165" s="123" t="n">
        <x:v>4.7</x:v>
      </x:c>
    </x:row>
    <x:row r="166">
      <x:c r="A166" s="119" t="str">
        <x:v>111121</x:v>
      </x:c>
      <x:c r="B166" s="123" t="n">
        <x:v>2.3</x:v>
      </x:c>
    </x:row>
    <x:row r="167">
      <x:c r="A167" s="119" t="str">
        <x:v>111200</x:v>
      </x:c>
      <x:c r="B167" s="123" t="n">
        <x:v>6.1</x:v>
      </x:c>
    </x:row>
    <x:row r="168">
      <x:c r="A168" s="119" t="str">
        <x:v>111201</x:v>
      </x:c>
      <x:c r="B168" s="123" t="n">
        <x:v>5.2</x:v>
      </x:c>
    </x:row>
    <x:row r="169">
      <x:c r="A169" s="119" t="str">
        <x:v>111210</x:v>
      </x:c>
      <x:c r="B169" s="123" t="n">
        <x:v>5.7</x:v>
      </x:c>
    </x:row>
    <x:row r="170">
      <x:c r="A170" s="119" t="str">
        <x:v>111211</x:v>
      </x:c>
      <x:c r="B170" s="123" t="n">
        <x:v>2.9</x:v>
      </x:c>
    </x:row>
    <x:row r="171">
      <x:c r="A171" s="119" t="str">
        <x:v>111220</x:v>
      </x:c>
      <x:c r="B171" s="123" t="n">
        <x:v>2.4</x:v>
      </x:c>
    </x:row>
    <x:row r="172">
      <x:c r="A172" s="119" t="str">
        <x:v>111221</x:v>
      </x:c>
      <x:c r="B172" s="123" t="n">
        <x:v>1.6</x:v>
      </x:c>
    </x:row>
    <x:row r="173">
      <x:c r="A173" s="119" t="str">
        <x:v>112001</x:v>
      </x:c>
      <x:c r="B173" s="123" t="n">
        <x:v>7.1</x:v>
      </x:c>
    </x:row>
    <x:row r="174">
      <x:c r="A174" s="119" t="str">
        <x:v>112011</x:v>
      </x:c>
      <x:c r="B174" s="123" t="n">
        <x:v>5.9</x:v>
      </x:c>
    </x:row>
    <x:row r="175">
      <x:c r="A175" s="119" t="str">
        <x:v>112021</x:v>
      </x:c>
      <x:c r="B175" s="123" t="n">
        <x:v>3</x:v>
      </x:c>
    </x:row>
    <x:row r="176">
      <x:c r="A176" s="119" t="str">
        <x:v>112101</x:v>
      </x:c>
      <x:c r="B176" s="123" t="n">
        <x:v>5.8</x:v>
      </x:c>
    </x:row>
    <x:row r="177">
      <x:c r="A177" s="119" t="str">
        <x:v>112111</x:v>
      </x:c>
      <x:c r="B177" s="123" t="n">
        <x:v>2.6</x:v>
      </x:c>
    </x:row>
    <x:row r="178">
      <x:c r="A178" s="119" t="str">
        <x:v>112121</x:v>
      </x:c>
      <x:c r="B178" s="123" t="n">
        <x:v>1.5</x:v>
      </x:c>
    </x:row>
    <x:row r="179">
      <x:c r="A179" s="119" t="str">
        <x:v>112201</x:v>
      </x:c>
      <x:c r="B179" s="123" t="n">
        <x:v>2.3</x:v>
      </x:c>
    </x:row>
    <x:row r="180">
      <x:c r="A180" s="119" t="str">
        <x:v>112211</x:v>
      </x:c>
      <x:c r="B180" s="123" t="n">
        <x:v>1.3</x:v>
      </x:c>
    </x:row>
    <x:row r="181">
      <x:c r="A181" s="119" t="str">
        <x:v>112221</x:v>
      </x:c>
      <x:c r="B181" s="123" t="n">
        <x:v>0.6</x:v>
      </x:c>
    </x:row>
    <x:row r="182">
      <x:c r="A182" s="119" t="str">
        <x:v>200000</x:v>
      </x:c>
      <x:c r="B182" s="123" t="n">
        <x:v>9.3</x:v>
      </x:c>
    </x:row>
    <x:row r="183">
      <x:c r="A183" s="119" t="str">
        <x:v>200001</x:v>
      </x:c>
      <x:c r="B183" s="123" t="n">
        <x:v>8.7</x:v>
      </x:c>
    </x:row>
    <x:row r="184">
      <x:c r="A184" s="119" t="str">
        <x:v>200010</x:v>
      </x:c>
      <x:c r="B184" s="123" t="n">
        <x:v>8.6</x:v>
      </x:c>
    </x:row>
    <x:row r="185">
      <x:c r="A185" s="119" t="str">
        <x:v>200011</x:v>
      </x:c>
      <x:c r="B185" s="123" t="n">
        <x:v>7.2</x:v>
      </x:c>
    </x:row>
    <x:row r="186">
      <x:c r="A186" s="119" t="str">
        <x:v>200020</x:v>
      </x:c>
      <x:c r="B186" s="123" t="n">
        <x:v>7.5</x:v>
      </x:c>
    </x:row>
    <x:row r="187">
      <x:c r="A187" s="119" t="str">
        <x:v>200021</x:v>
      </x:c>
      <x:c r="B187" s="123" t="n">
        <x:v>5.8</x:v>
      </x:c>
    </x:row>
    <x:row r="188">
      <x:c r="A188" s="119" t="str">
        <x:v>200100</x:v>
      </x:c>
      <x:c r="B188" s="123" t="n">
        <x:v>8.6</x:v>
      </x:c>
    </x:row>
    <x:row r="189">
      <x:c r="A189" s="119" t="str">
        <x:v>200101</x:v>
      </x:c>
      <x:c r="B189" s="123" t="n">
        <x:v>7.4</x:v>
      </x:c>
    </x:row>
    <x:row r="190">
      <x:c r="A190" s="119" t="str">
        <x:v>200110</x:v>
      </x:c>
      <x:c r="B190" s="123" t="n">
        <x:v>7.4</x:v>
      </x:c>
    </x:row>
    <x:row r="191">
      <x:c r="A191" s="119" t="str">
        <x:v>200111</x:v>
      </x:c>
      <x:c r="B191" s="123" t="n">
        <x:v>6.1</x:v>
      </x:c>
    </x:row>
    <x:row r="192">
      <x:c r="A192" s="119" t="str">
        <x:v>200120</x:v>
      </x:c>
      <x:c r="B192" s="123" t="n">
        <x:v>5.6</x:v>
      </x:c>
    </x:row>
    <x:row r="193">
      <x:c r="A193" s="119" t="str">
        <x:v>200121</x:v>
      </x:c>
      <x:c r="B193" s="123" t="n">
        <x:v>3.4</x:v>
      </x:c>
    </x:row>
    <x:row r="194">
      <x:c r="A194" s="119" t="str">
        <x:v>200200</x:v>
      </x:c>
      <x:c r="B194" s="123" t="n">
        <x:v>7</x:v>
      </x:c>
    </x:row>
    <x:row r="195">
      <x:c r="A195" s="119" t="str">
        <x:v>200201</x:v>
      </x:c>
      <x:c r="B195" s="123" t="n">
        <x:v>5.4</x:v>
      </x:c>
    </x:row>
    <x:row r="196">
      <x:c r="A196" s="119" t="str">
        <x:v>200210</x:v>
      </x:c>
      <x:c r="B196" s="123" t="n">
        <x:v>5.2</x:v>
      </x:c>
    </x:row>
    <x:row r="197">
      <x:c r="A197" s="119" t="str">
        <x:v>200211</x:v>
      </x:c>
      <x:c r="B197" s="123" t="n">
        <x:v>4</x:v>
      </x:c>
    </x:row>
    <x:row r="198">
      <x:c r="A198" s="119" t="str">
        <x:v>200220</x:v>
      </x:c>
      <x:c r="B198" s="123" t="n">
        <x:v>4</x:v>
      </x:c>
    </x:row>
    <x:row r="199">
      <x:c r="A199" s="119" t="str">
        <x:v>200221</x:v>
      </x:c>
      <x:c r="B199" s="123" t="n">
        <x:v>2.2</x:v>
      </x:c>
    </x:row>
    <x:row r="200">
      <x:c r="A200" s="119" t="str">
        <x:v>201000</x:v>
      </x:c>
      <x:c r="B200" s="123" t="n">
        <x:v>8.5</x:v>
      </x:c>
    </x:row>
    <x:row r="201">
      <x:c r="A201" s="119" t="str">
        <x:v>201001</x:v>
      </x:c>
      <x:c r="B201" s="123" t="n">
        <x:v>7.5</x:v>
      </x:c>
    </x:row>
    <x:row r="202">
      <x:c r="A202" s="119" t="str">
        <x:v>201010</x:v>
      </x:c>
      <x:c r="B202" s="123" t="n">
        <x:v>7.4</x:v>
      </x:c>
    </x:row>
    <x:row r="203">
      <x:c r="A203" s="119" t="str">
        <x:v>201011</x:v>
      </x:c>
      <x:c r="B203" s="123" t="n">
        <x:v>5.5</x:v>
      </x:c>
    </x:row>
    <x:row r="204">
      <x:c r="A204" s="119" t="str">
        <x:v>201020</x:v>
      </x:c>
      <x:c r="B204" s="123" t="n">
        <x:v>6.2</x:v>
      </x:c>
    </x:row>
    <x:row r="205">
      <x:c r="A205" s="119" t="str">
        <x:v>201021</x:v>
      </x:c>
      <x:c r="B205" s="123" t="n">
        <x:v>5.1</x:v>
      </x:c>
    </x:row>
    <x:row r="206">
      <x:c r="A206" s="119" t="str">
        <x:v>201100</x:v>
      </x:c>
      <x:c r="B206" s="123" t="n">
        <x:v>7.2</x:v>
      </x:c>
    </x:row>
    <x:row r="207">
      <x:c r="A207" s="119" t="str">
        <x:v>201101</x:v>
      </x:c>
      <x:c r="B207" s="123" t="n">
        <x:v>5.7</x:v>
      </x:c>
    </x:row>
    <x:row r="208">
      <x:c r="A208" s="119" t="str">
        <x:v>201110</x:v>
      </x:c>
      <x:c r="B208" s="123" t="n">
        <x:v>5.5</x:v>
      </x:c>
    </x:row>
    <x:row r="209">
      <x:c r="A209" s="119" t="str">
        <x:v>201111</x:v>
      </x:c>
      <x:c r="B209" s="123" t="n">
        <x:v>4.1</x:v>
      </x:c>
    </x:row>
    <x:row r="210">
      <x:c r="A210" s="119" t="str">
        <x:v>201120</x:v>
      </x:c>
      <x:c r="B210" s="123" t="n">
        <x:v>4.6</x:v>
      </x:c>
    </x:row>
    <x:row r="211">
      <x:c r="A211" s="119" t="str">
        <x:v>201121</x:v>
      </x:c>
      <x:c r="B211" s="123" t="n">
        <x:v>1.9</x:v>
      </x:c>
    </x:row>
    <x:row r="212">
      <x:c r="A212" s="119" t="str">
        <x:v>201200</x:v>
      </x:c>
      <x:c r="B212" s="123" t="n">
        <x:v>5.3</x:v>
      </x:c>
    </x:row>
    <x:row r="213">
      <x:c r="A213" s="119" t="str">
        <x:v>201201</x:v>
      </x:c>
      <x:c r="B213" s="123" t="n">
        <x:v>3.6</x:v>
      </x:c>
    </x:row>
    <x:row r="214">
      <x:c r="A214" s="119" t="str">
        <x:v>201210</x:v>
      </x:c>
      <x:c r="B214" s="123" t="n">
        <x:v>3.4</x:v>
      </x:c>
    </x:row>
    <x:row r="215">
      <x:c r="A215" s="119" t="str">
        <x:v>201211</x:v>
      </x:c>
      <x:c r="B215" s="123" t="n">
        <x:v>1.9</x:v>
      </x:c>
    </x:row>
    <x:row r="216">
      <x:c r="A216" s="119" t="str">
        <x:v>201220</x:v>
      </x:c>
      <x:c r="B216" s="123" t="n">
        <x:v>1.9</x:v>
      </x:c>
    </x:row>
    <x:row r="217">
      <x:c r="A217" s="119" t="str">
        <x:v>201221</x:v>
      </x:c>
      <x:c r="B217" s="123" t="n">
        <x:v>0.8</x:v>
      </x:c>
    </x:row>
    <x:row r="218">
      <x:c r="A218" s="119" t="str">
        <x:v>202001</x:v>
      </x:c>
      <x:c r="B218" s="123" t="n">
        <x:v>6.4</x:v>
      </x:c>
    </x:row>
    <x:row r="219">
      <x:c r="A219" s="119" t="str">
        <x:v>202011</x:v>
      </x:c>
      <x:c r="B219" s="123" t="n">
        <x:v>5.1</x:v>
      </x:c>
    </x:row>
    <x:row r="220">
      <x:c r="A220" s="119" t="str">
        <x:v>202021</x:v>
      </x:c>
      <x:c r="B220" s="123" t="n">
        <x:v>2</x:v>
      </x:c>
    </x:row>
    <x:row r="221">
      <x:c r="A221" s="119" t="str">
        <x:v>202101</x:v>
      </x:c>
      <x:c r="B221" s="123" t="n">
        <x:v>4.7</x:v>
      </x:c>
    </x:row>
    <x:row r="222">
      <x:c r="A222" s="119" t="str">
        <x:v>202111</x:v>
      </x:c>
      <x:c r="B222" s="123" t="n">
        <x:v>2.1</x:v>
      </x:c>
    </x:row>
    <x:row r="223">
      <x:c r="A223" s="119" t="str">
        <x:v>202121</x:v>
      </x:c>
      <x:c r="B223" s="123" t="n">
        <x:v>1.1</x:v>
      </x:c>
    </x:row>
    <x:row r="224">
      <x:c r="A224" s="119" t="str">
        <x:v>202201</x:v>
      </x:c>
      <x:c r="B224" s="123" t="n">
        <x:v>2.4</x:v>
      </x:c>
    </x:row>
    <x:row r="225">
      <x:c r="A225" s="119" t="str">
        <x:v>202211</x:v>
      </x:c>
      <x:c r="B225" s="123" t="n">
        <x:v>0.9</x:v>
      </x:c>
    </x:row>
    <x:row r="226">
      <x:c r="A226" s="119" t="str">
        <x:v>202221</x:v>
      </x:c>
      <x:c r="B226" s="123" t="n">
        <x:v>0.4</x:v>
      </x:c>
    </x:row>
    <x:row r="227">
      <x:c r="A227" s="119" t="str">
        <x:v>210000</x:v>
      </x:c>
      <x:c r="B227" s="123" t="n">
        <x:v>8.8</x:v>
      </x:c>
    </x:row>
    <x:row r="228">
      <x:c r="A228" s="119" t="str">
        <x:v>210001</x:v>
      </x:c>
      <x:c r="B228" s="123" t="n">
        <x:v>7.5</x:v>
      </x:c>
    </x:row>
    <x:row r="229">
      <x:c r="A229" s="119" t="str">
        <x:v>210010</x:v>
      </x:c>
      <x:c r="B229" s="123" t="n">
        <x:v>7.3</x:v>
      </x:c>
    </x:row>
    <x:row r="230">
      <x:c r="A230" s="119" t="str">
        <x:v>210011</x:v>
      </x:c>
      <x:c r="B230" s="123" t="n">
        <x:v>5.3</x:v>
      </x:c>
    </x:row>
    <x:row r="231">
      <x:c r="A231" s="119" t="str">
        <x:v>210020</x:v>
      </x:c>
      <x:c r="B231" s="123" t="n">
        <x:v>6</x:v>
      </x:c>
    </x:row>
    <x:row r="232">
      <x:c r="A232" s="119" t="str">
        <x:v>210021</x:v>
      </x:c>
      <x:c r="B232" s="123" t="n">
        <x:v>5</x:v>
      </x:c>
    </x:row>
    <x:row r="233">
      <x:c r="A233" s="119" t="str">
        <x:v>210100</x:v>
      </x:c>
      <x:c r="B233" s="123" t="n">
        <x:v>7.3</x:v>
      </x:c>
    </x:row>
    <x:row r="234">
      <x:c r="A234" s="119" t="str">
        <x:v>210101</x:v>
      </x:c>
      <x:c r="B234" s="123" t="n">
        <x:v>5.5</x:v>
      </x:c>
    </x:row>
    <x:row r="235">
      <x:c r="A235" s="119" t="str">
        <x:v>210110</x:v>
      </x:c>
      <x:c r="B235" s="123" t="n">
        <x:v>5.9</x:v>
      </x:c>
    </x:row>
    <x:row r="236">
      <x:c r="A236" s="119" t="str">
        <x:v>210111</x:v>
      </x:c>
      <x:c r="B236" s="123" t="n">
        <x:v>4</x:v>
      </x:c>
    </x:row>
    <x:row r="237">
      <x:c r="A237" s="119" t="str">
        <x:v>210120</x:v>
      </x:c>
      <x:c r="B237" s="123" t="n">
        <x:v>4.1</x:v>
      </x:c>
    </x:row>
    <x:row r="238">
      <x:c r="A238" s="119" t="str">
        <x:v>210121</x:v>
      </x:c>
      <x:c r="B238" s="123" t="n">
        <x:v>2</x:v>
      </x:c>
    </x:row>
    <x:row r="239">
      <x:c r="A239" s="119" t="str">
        <x:v>210200</x:v>
      </x:c>
      <x:c r="B239" s="123" t="n">
        <x:v>5.4</x:v>
      </x:c>
    </x:row>
    <x:row r="240">
      <x:c r="A240" s="119" t="str">
        <x:v>210201</x:v>
      </x:c>
      <x:c r="B240" s="123" t="n">
        <x:v>4.3</x:v>
      </x:c>
    </x:row>
    <x:row r="241">
      <x:c r="A241" s="119" t="str">
        <x:v>210210</x:v>
      </x:c>
      <x:c r="B241" s="123" t="n">
        <x:v>4.5</x:v>
      </x:c>
    </x:row>
    <x:row r="242">
      <x:c r="A242" s="119" t="str">
        <x:v>210211</x:v>
      </x:c>
      <x:c r="B242" s="123" t="n">
        <x:v>2.2</x:v>
      </x:c>
    </x:row>
    <x:row r="243">
      <x:c r="A243" s="119" t="str">
        <x:v>210220</x:v>
      </x:c>
      <x:c r="B243" s="123" t="n">
        <x:v>2</x:v>
      </x:c>
    </x:row>
    <x:row r="244">
      <x:c r="A244" s="119" t="str">
        <x:v>210221</x:v>
      </x:c>
      <x:c r="B244" s="123" t="n">
        <x:v>1.1</x:v>
      </x:c>
    </x:row>
    <x:row r="245">
      <x:c r="A245" s="119" t="str">
        <x:v>211000</x:v>
      </x:c>
      <x:c r="B245" s="123" t="n">
        <x:v>7.5</x:v>
      </x:c>
    </x:row>
    <x:row r="246">
      <x:c r="A246" s="119" t="str">
        <x:v>211001</x:v>
      </x:c>
      <x:c r="B246" s="123" t="n">
        <x:v>5.5</x:v>
      </x:c>
    </x:row>
    <x:row r="247">
      <x:c r="A247" s="119" t="str">
        <x:v>211010</x:v>
      </x:c>
      <x:c r="B247" s="123" t="n">
        <x:v>5.8</x:v>
      </x:c>
    </x:row>
    <x:row r="248">
      <x:c r="A248" s="119" t="str">
        <x:v>211011</x:v>
      </x:c>
      <x:c r="B248" s="123" t="n">
        <x:v>4.5</x:v>
      </x:c>
    </x:row>
    <x:row r="249">
      <x:c r="A249" s="119" t="str">
        <x:v>211020</x:v>
      </x:c>
      <x:c r="B249" s="123" t="n">
        <x:v>4</x:v>
      </x:c>
    </x:row>
    <x:row r="250">
      <x:c r="A250" s="119" t="str">
        <x:v>211021</x:v>
      </x:c>
      <x:c r="B250" s="123" t="n">
        <x:v>2.1</x:v>
      </x:c>
    </x:row>
    <x:row r="251">
      <x:c r="A251" s="119" t="str">
        <x:v>211100</x:v>
      </x:c>
      <x:c r="B251" s="123" t="n">
        <x:v>6.1</x:v>
      </x:c>
    </x:row>
    <x:row r="252">
      <x:c r="A252" s="119" t="str">
        <x:v>211101</x:v>
      </x:c>
      <x:c r="B252" s="123" t="n">
        <x:v>5.1</x:v>
      </x:c>
    </x:row>
    <x:row r="253">
      <x:c r="A253" s="119" t="str">
        <x:v>211110</x:v>
      </x:c>
      <x:c r="B253" s="123" t="n">
        <x:v>4.8</x:v>
      </x:c>
    </x:row>
    <x:row r="254">
      <x:c r="A254" s="119" t="str">
        <x:v>211111</x:v>
      </x:c>
      <x:c r="B254" s="123" t="n">
        <x:v>1.8</x:v>
      </x:c>
    </x:row>
    <x:row r="255">
      <x:c r="A255" s="119" t="str">
        <x:v>211120</x:v>
      </x:c>
      <x:c r="B255" s="123" t="n">
        <x:v>2</x:v>
      </x:c>
    </x:row>
    <x:row r="256">
      <x:c r="A256" s="119" t="str">
        <x:v>211121</x:v>
      </x:c>
      <x:c r="B256" s="123" t="n">
        <x:v>0.9</x:v>
      </x:c>
    </x:row>
    <x:row r="257">
      <x:c r="A257" s="119" t="str">
        <x:v>211200</x:v>
      </x:c>
      <x:c r="B257" s="123" t="n">
        <x:v>4.6</x:v>
      </x:c>
    </x:row>
    <x:row r="258">
      <x:c r="A258" s="119" t="str">
        <x:v>211201</x:v>
      </x:c>
      <x:c r="B258" s="123" t="n">
        <x:v>1.8</x:v>
      </x:c>
    </x:row>
    <x:row r="259">
      <x:c r="A259" s="119" t="str">
        <x:v>211210</x:v>
      </x:c>
      <x:c r="B259" s="123" t="n">
        <x:v>1.7</x:v>
      </x:c>
    </x:row>
    <x:row r="260">
      <x:c r="A260" s="119" t="str">
        <x:v>211211</x:v>
      </x:c>
      <x:c r="B260" s="123" t="n">
        <x:v>0.7</x:v>
      </x:c>
    </x:row>
    <x:row r="261">
      <x:c r="A261" s="119" t="str">
        <x:v>211220</x:v>
      </x:c>
      <x:c r="B261" s="123" t="n">
        <x:v>0.8</x:v>
      </x:c>
    </x:row>
    <x:row r="262">
      <x:c r="A262" s="119" t="str">
        <x:v>211221</x:v>
      </x:c>
      <x:c r="B262" s="123" t="n">
        <x:v>0.2</x:v>
      </x:c>
    </x:row>
    <x:row r="263">
      <x:c r="A263" s="119" t="str">
        <x:v>212001</x:v>
      </x:c>
      <x:c r="B263" s="123" t="n">
        <x:v>5.3</x:v>
      </x:c>
    </x:row>
    <x:row r="264">
      <x:c r="A264" s="119" t="str">
        <x:v>212011</x:v>
      </x:c>
      <x:c r="B264" s="123" t="n">
        <x:v>2.4</x:v>
      </x:c>
    </x:row>
    <x:row r="265">
      <x:c r="A265" s="119" t="str">
        <x:v>212021</x:v>
      </x:c>
      <x:c r="B265" s="123" t="n">
        <x:v>1.4</x:v>
      </x:c>
    </x:row>
    <x:row r="266">
      <x:c r="A266" s="119" t="str">
        <x:v>212101</x:v>
      </x:c>
      <x:c r="B266" s="123" t="n">
        <x:v>2.4</x:v>
      </x:c>
    </x:row>
    <x:row r="267">
      <x:c r="A267" s="119" t="str">
        <x:v>212111</x:v>
      </x:c>
      <x:c r="B267" s="123" t="n">
        <x:v>1.2</x:v>
      </x:c>
    </x:row>
    <x:row r="268">
      <x:c r="A268" s="119" t="str">
        <x:v>212121</x:v>
      </x:c>
      <x:c r="B268" s="123" t="n">
        <x:v>0.5</x:v>
      </x:c>
    </x:row>
    <x:row r="269">
      <x:c r="A269" s="119" t="str">
        <x:v>212201</x:v>
      </x:c>
      <x:c r="B269" s="123" t="n">
        <x:v>1</x:v>
      </x:c>
    </x:row>
    <x:row r="270">
      <x:c r="A270" s="119" t="str">
        <x:v>212211</x:v>
      </x:c>
      <x:c r="B270" s="123" t="n">
        <x:v>0.3</x:v>
      </x:c>
    </x:row>
    <x:row r="271">
      <x:c r="A271" s="120" t="str">
        <x:v>212221</x:v>
      </x:c>
      <x:c r="B271" s="124" t="n">
        <x:v>0.1</x:v>
      </x:c>
    </x:row>
  </x:sheetData>
  <x:pageMargins left="0.7" right="0.7" top="0.75" bottom="0.75" header="0.3" footer="0.3"/>
  <x:tableParts count="1">
    <x:tablePart xmlns:r="http://schemas.openxmlformats.org/officeDocument/2006/relationships" r:id="R66051ace0c8f4fa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13" hidden="0" customWidth="1"/>
    <x:col min="4" max="4" width="50" hidden="0" customWidth="1"/>
    <x:col min="6" max="6" width="20" hidden="0" customWidth="1"/>
    <x:col min="7" max="7" width="42" hidden="0" customWidth="1"/>
  </x:cols>
  <x:sheetData>
    <x:row r="1">
      <x:c r="A1" s="98" t="str">
        <x:v>Metric Code</x:v>
      </x:c>
      <x:c r="B1" s="98" t="str">
        <x:v>Metric Name</x:v>
      </x:c>
      <x:c r="C1" s="98" t="str">
        <x:v>Value</x:v>
      </x:c>
      <x:c r="D1" s="98" t="str">
        <x:v>Option Meaning</x:v>
      </x:c>
      <x:c r="F1" s="106" t="str">
        <x:v>Lookup Key</x:v>
      </x:c>
      <x:c r="G1" s="106" t="str">
        <x:v>Option Meaning</x:v>
      </x:c>
    </x:row>
    <x:row r="2" ht="22" customHeight="1">
      <x:c r="A2" s="104" t="str">
        <x:v>AV</x:v>
      </x:c>
      <x:c r="B2" s="104" t="str">
        <x:v>Attack Vector</x:v>
      </x:c>
      <x:c r="C2" s="104" t="str">
        <x:v>N</x:v>
      </x:c>
      <x:c r="D2" s="104" t="str">
        <x:v>Network</x:v>
      </x:c>
      <x:c r="F2" t="str">
        <x:v>AV:N</x:v>
      </x:c>
      <x:c r="G2" t="str">
        <x:v>Network</x:v>
      </x:c>
    </x:row>
    <x:row r="3" ht="22" customHeight="1">
      <x:c r="A3" s="104" t="str">
        <x:v>AV</x:v>
      </x:c>
      <x:c r="B3" s="104" t="str">
        <x:v>Attack Vector</x:v>
      </x:c>
      <x:c r="C3" s="104" t="str">
        <x:v>A</x:v>
      </x:c>
      <x:c r="D3" s="104" t="str">
        <x:v>Adjacent</x:v>
      </x:c>
      <x:c r="F3" t="str">
        <x:v>AV:A</x:v>
      </x:c>
      <x:c r="G3" t="str">
        <x:v>Adjacent</x:v>
      </x:c>
    </x:row>
    <x:row r="4" ht="22" customHeight="1">
      <x:c r="A4" s="104" t="str">
        <x:v>AV</x:v>
      </x:c>
      <x:c r="B4" s="104" t="str">
        <x:v>Attack Vector</x:v>
      </x:c>
      <x:c r="C4" s="104" t="str">
        <x:v>L</x:v>
      </x:c>
      <x:c r="D4" s="104" t="str">
        <x:v>Local</x:v>
      </x:c>
      <x:c r="F4" t="str">
        <x:v>AV:L</x:v>
      </x:c>
      <x:c r="G4" t="str">
        <x:v>Local</x:v>
      </x:c>
    </x:row>
    <x:row r="5" ht="22" customHeight="1">
      <x:c r="A5" s="104" t="str">
        <x:v>AV</x:v>
      </x:c>
      <x:c r="B5" s="104" t="str">
        <x:v>Attack Vector</x:v>
      </x:c>
      <x:c r="C5" s="104" t="str">
        <x:v>P</x:v>
      </x:c>
      <x:c r="D5" s="104" t="str">
        <x:v>Physical</x:v>
      </x:c>
      <x:c r="F5" t="str">
        <x:v>AV:P</x:v>
      </x:c>
      <x:c r="G5" t="str">
        <x:v>Physical</x:v>
      </x:c>
    </x:row>
    <x:row r="6" ht="22" customHeight="1">
      <x:c r="A6" s="104" t="str">
        <x:v>AC</x:v>
      </x:c>
      <x:c r="B6" s="104" t="str">
        <x:v>Attack Complexity</x:v>
      </x:c>
      <x:c r="C6" s="104" t="str">
        <x:v>L</x:v>
      </x:c>
      <x:c r="D6" s="104" t="str">
        <x:v>Low</x:v>
      </x:c>
      <x:c r="F6" t="str">
        <x:v>AC:L</x:v>
      </x:c>
      <x:c r="G6" t="str">
        <x:v>Low</x:v>
      </x:c>
    </x:row>
    <x:row r="7" ht="22" customHeight="1">
      <x:c r="A7" s="104" t="str">
        <x:v>AC</x:v>
      </x:c>
      <x:c r="B7" s="104" t="str">
        <x:v>Attack Complexity</x:v>
      </x:c>
      <x:c r="C7" s="104" t="str">
        <x:v>H</x:v>
      </x:c>
      <x:c r="D7" s="104" t="str">
        <x:v>High</x:v>
      </x:c>
      <x:c r="F7" t="str">
        <x:v>AC:H</x:v>
      </x:c>
      <x:c r="G7" t="str">
        <x:v>High</x:v>
      </x:c>
    </x:row>
    <x:row r="8" ht="22" customHeight="1">
      <x:c r="A8" s="104" t="str">
        <x:v>AT</x:v>
      </x:c>
      <x:c r="B8" s="104" t="str">
        <x:v>Attack Requirements</x:v>
      </x:c>
      <x:c r="C8" s="104" t="str">
        <x:v>N</x:v>
      </x:c>
      <x:c r="D8" s="104" t="str">
        <x:v>None</x:v>
      </x:c>
      <x:c r="F8" t="str">
        <x:v>AT:N</x:v>
      </x:c>
      <x:c r="G8" t="str">
        <x:v>None</x:v>
      </x:c>
    </x:row>
    <x:row r="9" ht="22" customHeight="1">
      <x:c r="A9" s="104" t="str">
        <x:v>AT</x:v>
      </x:c>
      <x:c r="B9" s="104" t="str">
        <x:v>Attack Requirements</x:v>
      </x:c>
      <x:c r="C9" s="104" t="str">
        <x:v>P</x:v>
      </x:c>
      <x:c r="D9" s="104" t="str">
        <x:v>Present</x:v>
      </x:c>
      <x:c r="F9" t="str">
        <x:v>AT:P</x:v>
      </x:c>
      <x:c r="G9" t="str">
        <x:v>Present</x:v>
      </x:c>
    </x:row>
    <x:row r="10" ht="22" customHeight="1">
      <x:c r="A10" s="104" t="str">
        <x:v>PR</x:v>
      </x:c>
      <x:c r="B10" s="104" t="str">
        <x:v>Privileges Required</x:v>
      </x:c>
      <x:c r="C10" s="104" t="str">
        <x:v>N</x:v>
      </x:c>
      <x:c r="D10" s="104" t="str">
        <x:v>None</x:v>
      </x:c>
      <x:c r="F10" t="str">
        <x:v>PR:N</x:v>
      </x:c>
      <x:c r="G10" t="str">
        <x:v>None</x:v>
      </x:c>
    </x:row>
    <x:row r="11" ht="22" customHeight="1">
      <x:c r="A11" s="104" t="str">
        <x:v>PR</x:v>
      </x:c>
      <x:c r="B11" s="104" t="str">
        <x:v>Privileges Required</x:v>
      </x:c>
      <x:c r="C11" s="104" t="str">
        <x:v>L</x:v>
      </x:c>
      <x:c r="D11" s="104" t="str">
        <x:v>Low</x:v>
      </x:c>
      <x:c r="F11" t="str">
        <x:v>PR:L</x:v>
      </x:c>
      <x:c r="G11" t="str">
        <x:v>Low</x:v>
      </x:c>
    </x:row>
    <x:row r="12" ht="22" customHeight="1">
      <x:c r="A12" s="104" t="str">
        <x:v>PR</x:v>
      </x:c>
      <x:c r="B12" s="104" t="str">
        <x:v>Privileges Required</x:v>
      </x:c>
      <x:c r="C12" s="104" t="str">
        <x:v>H</x:v>
      </x:c>
      <x:c r="D12" s="104" t="str">
        <x:v>High</x:v>
      </x:c>
      <x:c r="F12" t="str">
        <x:v>PR:H</x:v>
      </x:c>
      <x:c r="G12" t="str">
        <x:v>High</x:v>
      </x:c>
    </x:row>
    <x:row r="13" ht="22" customHeight="1">
      <x:c r="A13" s="104" t="str">
        <x:v>UI</x:v>
      </x:c>
      <x:c r="B13" s="104" t="str">
        <x:v>User Interaction</x:v>
      </x:c>
      <x:c r="C13" s="104" t="str">
        <x:v>N</x:v>
      </x:c>
      <x:c r="D13" s="104" t="str">
        <x:v>None</x:v>
      </x:c>
      <x:c r="F13" t="str">
        <x:v>UI:N</x:v>
      </x:c>
      <x:c r="G13" t="str">
        <x:v>None</x:v>
      </x:c>
    </x:row>
    <x:row r="14" ht="22" customHeight="1">
      <x:c r="A14" s="104" t="str">
        <x:v>UI</x:v>
      </x:c>
      <x:c r="B14" s="104" t="str">
        <x:v>User Interaction</x:v>
      </x:c>
      <x:c r="C14" s="104" t="str">
        <x:v>P</x:v>
      </x:c>
      <x:c r="D14" s="104" t="str">
        <x:v>Passive</x:v>
      </x:c>
      <x:c r="F14" t="str">
        <x:v>UI:P</x:v>
      </x:c>
      <x:c r="G14" t="str">
        <x:v>Passive</x:v>
      </x:c>
    </x:row>
    <x:row r="15" ht="22" customHeight="1">
      <x:c r="A15" s="104" t="str">
        <x:v>UI</x:v>
      </x:c>
      <x:c r="B15" s="104" t="str">
        <x:v>User Interaction</x:v>
      </x:c>
      <x:c r="C15" s="104" t="str">
        <x:v>A</x:v>
      </x:c>
      <x:c r="D15" s="104" t="str">
        <x:v>Active</x:v>
      </x:c>
      <x:c r="F15" t="str">
        <x:v>UI:A</x:v>
      </x:c>
      <x:c r="G15" t="str">
        <x:v>Active</x:v>
      </x:c>
    </x:row>
    <x:row r="16" ht="22" customHeight="1">
      <x:c r="A16" s="104" t="str">
        <x:v>VC</x:v>
      </x:c>
      <x:c r="B16" s="104" t="str">
        <x:v>Vulnerable System Confidentiality</x:v>
      </x:c>
      <x:c r="C16" s="104" t="str">
        <x:v>H</x:v>
      </x:c>
      <x:c r="D16" s="104" t="str">
        <x:v>High</x:v>
      </x:c>
      <x:c r="F16" t="str">
        <x:v>VC:H</x:v>
      </x:c>
      <x:c r="G16" t="str">
        <x:v>High</x:v>
      </x:c>
    </x:row>
    <x:row r="17" ht="22" customHeight="1">
      <x:c r="A17" s="104" t="str">
        <x:v>VC</x:v>
      </x:c>
      <x:c r="B17" s="104" t="str">
        <x:v>Vulnerable System Confidentiality</x:v>
      </x:c>
      <x:c r="C17" s="104" t="str">
        <x:v>L</x:v>
      </x:c>
      <x:c r="D17" s="104" t="str">
        <x:v>Low</x:v>
      </x:c>
      <x:c r="F17" t="str">
        <x:v>VC:L</x:v>
      </x:c>
      <x:c r="G17" t="str">
        <x:v>Low</x:v>
      </x:c>
    </x:row>
    <x:row r="18" ht="22" customHeight="1">
      <x:c r="A18" s="104" t="str">
        <x:v>VC</x:v>
      </x:c>
      <x:c r="B18" s="104" t="str">
        <x:v>Vulnerable System Confidentiality</x:v>
      </x:c>
      <x:c r="C18" s="104" t="str">
        <x:v>N</x:v>
      </x:c>
      <x:c r="D18" s="104" t="str">
        <x:v>None</x:v>
      </x:c>
      <x:c r="F18" t="str">
        <x:v>VC:N</x:v>
      </x:c>
      <x:c r="G18" t="str">
        <x:v>None</x:v>
      </x:c>
    </x:row>
    <x:row r="19" ht="22" customHeight="1">
      <x:c r="A19" s="104" t="str">
        <x:v>VI</x:v>
      </x:c>
      <x:c r="B19" s="104" t="str">
        <x:v>Vulnerable System Integrity</x:v>
      </x:c>
      <x:c r="C19" s="104" t="str">
        <x:v>H</x:v>
      </x:c>
      <x:c r="D19" s="104" t="str">
        <x:v>High</x:v>
      </x:c>
      <x:c r="F19" t="str">
        <x:v>VI:H</x:v>
      </x:c>
      <x:c r="G19" t="str">
        <x:v>High</x:v>
      </x:c>
    </x:row>
    <x:row r="20" ht="22" customHeight="1">
      <x:c r="A20" s="104" t="str">
        <x:v>VI</x:v>
      </x:c>
      <x:c r="B20" s="104" t="str">
        <x:v>Vulnerable System Integrity</x:v>
      </x:c>
      <x:c r="C20" s="104" t="str">
        <x:v>L</x:v>
      </x:c>
      <x:c r="D20" s="104" t="str">
        <x:v>Low</x:v>
      </x:c>
      <x:c r="F20" t="str">
        <x:v>VI:L</x:v>
      </x:c>
      <x:c r="G20" t="str">
        <x:v>Low</x:v>
      </x:c>
    </x:row>
    <x:row r="21" ht="22" customHeight="1">
      <x:c r="A21" s="104" t="str">
        <x:v>VI</x:v>
      </x:c>
      <x:c r="B21" s="104" t="str">
        <x:v>Vulnerable System Integrity</x:v>
      </x:c>
      <x:c r="C21" s="104" t="str">
        <x:v>N</x:v>
      </x:c>
      <x:c r="D21" s="104" t="str">
        <x:v>None</x:v>
      </x:c>
      <x:c r="F21" t="str">
        <x:v>VI:N</x:v>
      </x:c>
      <x:c r="G21" t="str">
        <x:v>None</x:v>
      </x:c>
    </x:row>
    <x:row r="22" ht="22" customHeight="1">
      <x:c r="A22" s="104" t="str">
        <x:v>VA</x:v>
      </x:c>
      <x:c r="B22" s="104" t="str">
        <x:v>Vulnerable System Availability</x:v>
      </x:c>
      <x:c r="C22" s="104" t="str">
        <x:v>H</x:v>
      </x:c>
      <x:c r="D22" s="104" t="str">
        <x:v>High</x:v>
      </x:c>
      <x:c r="F22" t="str">
        <x:v>VA:H</x:v>
      </x:c>
      <x:c r="G22" t="str">
        <x:v>High</x:v>
      </x:c>
    </x:row>
    <x:row r="23" ht="22" customHeight="1">
      <x:c r="A23" s="104" t="str">
        <x:v>VA</x:v>
      </x:c>
      <x:c r="B23" s="104" t="str">
        <x:v>Vulnerable System Availability</x:v>
      </x:c>
      <x:c r="C23" s="104" t="str">
        <x:v>L</x:v>
      </x:c>
      <x:c r="D23" s="104" t="str">
        <x:v>Low</x:v>
      </x:c>
      <x:c r="F23" t="str">
        <x:v>VA:L</x:v>
      </x:c>
      <x:c r="G23" t="str">
        <x:v>Low</x:v>
      </x:c>
    </x:row>
    <x:row r="24" ht="22" customHeight="1">
      <x:c r="A24" s="104" t="str">
        <x:v>VA</x:v>
      </x:c>
      <x:c r="B24" s="104" t="str">
        <x:v>Vulnerable System Availability</x:v>
      </x:c>
      <x:c r="C24" s="104" t="str">
        <x:v>N</x:v>
      </x:c>
      <x:c r="D24" s="104" t="str">
        <x:v>None</x:v>
      </x:c>
      <x:c r="F24" t="str">
        <x:v>VA:N</x:v>
      </x:c>
      <x:c r="G24" t="str">
        <x:v>None</x:v>
      </x:c>
    </x:row>
    <x:row r="25" ht="22" customHeight="1">
      <x:c r="A25" s="104" t="str">
        <x:v>SC</x:v>
      </x:c>
      <x:c r="B25" s="104" t="str">
        <x:v>Subsequent System Confidentiality</x:v>
      </x:c>
      <x:c r="C25" s="104" t="str">
        <x:v>H</x:v>
      </x:c>
      <x:c r="D25" s="104" t="str">
        <x:v>High</x:v>
      </x:c>
      <x:c r="F25" t="str">
        <x:v>SC:H</x:v>
      </x:c>
      <x:c r="G25" t="str">
        <x:v>High</x:v>
      </x:c>
    </x:row>
    <x:row r="26" ht="22" customHeight="1">
      <x:c r="A26" s="104" t="str">
        <x:v>SC</x:v>
      </x:c>
      <x:c r="B26" s="104" t="str">
        <x:v>Subsequent System Confidentiality</x:v>
      </x:c>
      <x:c r="C26" s="104" t="str">
        <x:v>L</x:v>
      </x:c>
      <x:c r="D26" s="104" t="str">
        <x:v>Low</x:v>
      </x:c>
      <x:c r="F26" t="str">
        <x:v>SC:L</x:v>
      </x:c>
      <x:c r="G26" t="str">
        <x:v>Low</x:v>
      </x:c>
    </x:row>
    <x:row r="27" ht="22" customHeight="1">
      <x:c r="A27" s="104" t="str">
        <x:v>SC</x:v>
      </x:c>
      <x:c r="B27" s="104" t="str">
        <x:v>Subsequent System Confidentiality</x:v>
      </x:c>
      <x:c r="C27" s="104" t="str">
        <x:v>N</x:v>
      </x:c>
      <x:c r="D27" s="104" t="str">
        <x:v>None</x:v>
      </x:c>
      <x:c r="F27" t="str">
        <x:v>SC:N</x:v>
      </x:c>
      <x:c r="G27" t="str">
        <x:v>None</x:v>
      </x:c>
    </x:row>
    <x:row r="28" ht="22" customHeight="1">
      <x:c r="A28" s="104" t="str">
        <x:v>SI</x:v>
      </x:c>
      <x:c r="B28" s="104" t="str">
        <x:v>Subsequent System Integrity</x:v>
      </x:c>
      <x:c r="C28" s="104" t="str">
        <x:v>H</x:v>
      </x:c>
      <x:c r="D28" s="104" t="str">
        <x:v>High</x:v>
      </x:c>
      <x:c r="F28" t="str">
        <x:v>SI:H</x:v>
      </x:c>
      <x:c r="G28" t="str">
        <x:v>High</x:v>
      </x:c>
    </x:row>
    <x:row r="29" ht="22" customHeight="1">
      <x:c r="A29" s="104" t="str">
        <x:v>SI</x:v>
      </x:c>
      <x:c r="B29" s="104" t="str">
        <x:v>Subsequent System Integrity</x:v>
      </x:c>
      <x:c r="C29" s="104" t="str">
        <x:v>L</x:v>
      </x:c>
      <x:c r="D29" s="104" t="str">
        <x:v>Low</x:v>
      </x:c>
      <x:c r="F29" t="str">
        <x:v>SI:L</x:v>
      </x:c>
      <x:c r="G29" t="str">
        <x:v>Low</x:v>
      </x:c>
    </x:row>
    <x:row r="30" ht="22" customHeight="1">
      <x:c r="A30" s="104" t="str">
        <x:v>SI</x:v>
      </x:c>
      <x:c r="B30" s="104" t="str">
        <x:v>Subsequent System Integrity</x:v>
      </x:c>
      <x:c r="C30" s="104" t="str">
        <x:v>N</x:v>
      </x:c>
      <x:c r="D30" s="104" t="str">
        <x:v>None</x:v>
      </x:c>
      <x:c r="F30" t="str">
        <x:v>SI:N</x:v>
      </x:c>
      <x:c r="G30" t="str">
        <x:v>None</x:v>
      </x:c>
    </x:row>
    <x:row r="31" ht="22" customHeight="1">
      <x:c r="A31" s="104" t="str">
        <x:v>SA</x:v>
      </x:c>
      <x:c r="B31" s="104" t="str">
        <x:v>Subsequent System Availability</x:v>
      </x:c>
      <x:c r="C31" s="104" t="str">
        <x:v>H</x:v>
      </x:c>
      <x:c r="D31" s="104" t="str">
        <x:v>High</x:v>
      </x:c>
      <x:c r="F31" t="str">
        <x:v>SA:H</x:v>
      </x:c>
      <x:c r="G31" t="str">
        <x:v>High</x:v>
      </x:c>
    </x:row>
    <x:row r="32" ht="22" customHeight="1">
      <x:c r="A32" s="104" t="str">
        <x:v>SA</x:v>
      </x:c>
      <x:c r="B32" s="104" t="str">
        <x:v>Subsequent System Availability</x:v>
      </x:c>
      <x:c r="C32" s="104" t="str">
        <x:v>L</x:v>
      </x:c>
      <x:c r="D32" s="104" t="str">
        <x:v>Low</x:v>
      </x:c>
      <x:c r="F32" t="str">
        <x:v>SA:L</x:v>
      </x:c>
      <x:c r="G32" t="str">
        <x:v>Low</x:v>
      </x:c>
    </x:row>
    <x:row r="33" ht="22" customHeight="1">
      <x:c r="A33" s="104" t="str">
        <x:v>SA</x:v>
      </x:c>
      <x:c r="B33" s="104" t="str">
        <x:v>Subsequent System Availability</x:v>
      </x:c>
      <x:c r="C33" s="104" t="str">
        <x:v>N</x:v>
      </x:c>
      <x:c r="D33" s="104" t="str">
        <x:v>None</x:v>
      </x:c>
      <x:c r="F33" t="str">
        <x:v>SA:N</x:v>
      </x:c>
      <x:c r="G33" t="str">
        <x:v>None</x:v>
      </x:c>
    </x:row>
    <x:row r="34" ht="22" customHeight="1">
      <x:c r="A34" s="104" t="str">
        <x:v>E</x:v>
      </x:c>
      <x:c r="B34" s="104" t="str">
        <x:v>Exploit Maturity</x:v>
      </x:c>
      <x:c r="C34" s="104" t="str">
        <x:v>X</x:v>
      </x:c>
      <x:c r="D34" s="104" t="str">
        <x:v>Not Defined (scoring defaults to A)</x:v>
      </x:c>
      <x:c r="F34" t="str">
        <x:v>E:X</x:v>
      </x:c>
      <x:c r="G34" t="str">
        <x:v>Not Defined (scoring defaults to A)</x:v>
      </x:c>
    </x:row>
    <x:row r="35" ht="22" customHeight="1">
      <x:c r="A35" s="104" t="str">
        <x:v>E</x:v>
      </x:c>
      <x:c r="B35" s="104" t="str">
        <x:v>Exploit Maturity</x:v>
      </x:c>
      <x:c r="C35" s="104" t="str">
        <x:v>A</x:v>
      </x:c>
      <x:c r="D35" s="104" t="str">
        <x:v>Attacked</x:v>
      </x:c>
      <x:c r="F35" t="str">
        <x:v>E:A</x:v>
      </x:c>
      <x:c r="G35" t="str">
        <x:v>Attacked</x:v>
      </x:c>
    </x:row>
    <x:row r="36" ht="22" customHeight="1">
      <x:c r="A36" s="104" t="str">
        <x:v>E</x:v>
      </x:c>
      <x:c r="B36" s="104" t="str">
        <x:v>Exploit Maturity</x:v>
      </x:c>
      <x:c r="C36" s="104" t="str">
        <x:v>P</x:v>
      </x:c>
      <x:c r="D36" s="104" t="str">
        <x:v>Proof-of-Concept</x:v>
      </x:c>
      <x:c r="F36" t="str">
        <x:v>E:P</x:v>
      </x:c>
      <x:c r="G36" t="str">
        <x:v>Proof-of-Concept</x:v>
      </x:c>
    </x:row>
    <x:row r="37" ht="22" customHeight="1">
      <x:c r="A37" s="104" t="str">
        <x:v>E</x:v>
      </x:c>
      <x:c r="B37" s="104" t="str">
        <x:v>Exploit Maturity</x:v>
      </x:c>
      <x:c r="C37" s="104" t="str">
        <x:v>U</x:v>
      </x:c>
      <x:c r="D37" s="104" t="str">
        <x:v>Unreported</x:v>
      </x:c>
      <x:c r="F37" t="str">
        <x:v>E:U</x:v>
      </x:c>
      <x:c r="G37" t="str">
        <x:v>Unreported</x:v>
      </x:c>
    </x:row>
    <x:row r="38" ht="22" customHeight="1">
      <x:c r="A38" s="104" t="str">
        <x:v>CR</x:v>
      </x:c>
      <x:c r="B38" s="104" t="str">
        <x:v>Confidentiality Requirement</x:v>
      </x:c>
      <x:c r="C38" s="104" t="str">
        <x:v>X</x:v>
      </x:c>
      <x:c r="D38" s="104" t="str">
        <x:v>Not Defined (defaults to High)</x:v>
      </x:c>
      <x:c r="F38" t="str">
        <x:v>CR:X</x:v>
      </x:c>
      <x:c r="G38" t="str">
        <x:v>Not Defined (defaults to High)</x:v>
      </x:c>
    </x:row>
    <x:row r="39" ht="22" customHeight="1">
      <x:c r="A39" s="104" t="str">
        <x:v>CR</x:v>
      </x:c>
      <x:c r="B39" s="104" t="str">
        <x:v>Confidentiality Requirement</x:v>
      </x:c>
      <x:c r="C39" s="104" t="str">
        <x:v>H</x:v>
      </x:c>
      <x:c r="D39" s="104" t="str">
        <x:v>High</x:v>
      </x:c>
      <x:c r="F39" t="str">
        <x:v>CR:H</x:v>
      </x:c>
      <x:c r="G39" t="str">
        <x:v>High</x:v>
      </x:c>
    </x:row>
    <x:row r="40" ht="22" customHeight="1">
      <x:c r="A40" s="104" t="str">
        <x:v>CR</x:v>
      </x:c>
      <x:c r="B40" s="104" t="str">
        <x:v>Confidentiality Requirement</x:v>
      </x:c>
      <x:c r="C40" s="104" t="str">
        <x:v>M</x:v>
      </x:c>
      <x:c r="D40" s="104" t="str">
        <x:v>Medium</x:v>
      </x:c>
      <x:c r="F40" t="str">
        <x:v>CR:M</x:v>
      </x:c>
      <x:c r="G40" t="str">
        <x:v>Medium</x:v>
      </x:c>
    </x:row>
    <x:row r="41" ht="22" customHeight="1">
      <x:c r="A41" s="104" t="str">
        <x:v>CR</x:v>
      </x:c>
      <x:c r="B41" s="104" t="str">
        <x:v>Confidentiality Requirement</x:v>
      </x:c>
      <x:c r="C41" s="104" t="str">
        <x:v>L</x:v>
      </x:c>
      <x:c r="D41" s="104" t="str">
        <x:v>Low</x:v>
      </x:c>
      <x:c r="F41" t="str">
        <x:v>CR:L</x:v>
      </x:c>
      <x:c r="G41" t="str">
        <x:v>Low</x:v>
      </x:c>
    </x:row>
    <x:row r="42" ht="22" customHeight="1">
      <x:c r="A42" s="104" t="str">
        <x:v>IR</x:v>
      </x:c>
      <x:c r="B42" s="104" t="str">
        <x:v>Integrity Requirement</x:v>
      </x:c>
      <x:c r="C42" s="104" t="str">
        <x:v>X</x:v>
      </x:c>
      <x:c r="D42" s="104" t="str">
        <x:v>Not Defined (defaults to High)</x:v>
      </x:c>
      <x:c r="F42" t="str">
        <x:v>IR:X</x:v>
      </x:c>
      <x:c r="G42" t="str">
        <x:v>Not Defined (defaults to High)</x:v>
      </x:c>
    </x:row>
    <x:row r="43" ht="22" customHeight="1">
      <x:c r="A43" s="104" t="str">
        <x:v>IR</x:v>
      </x:c>
      <x:c r="B43" s="104" t="str">
        <x:v>Integrity Requirement</x:v>
      </x:c>
      <x:c r="C43" s="104" t="str">
        <x:v>H</x:v>
      </x:c>
      <x:c r="D43" s="104" t="str">
        <x:v>High</x:v>
      </x:c>
      <x:c r="F43" t="str">
        <x:v>IR:H</x:v>
      </x:c>
      <x:c r="G43" t="str">
        <x:v>High</x:v>
      </x:c>
    </x:row>
    <x:row r="44" ht="22" customHeight="1">
      <x:c r="A44" s="104" t="str">
        <x:v>IR</x:v>
      </x:c>
      <x:c r="B44" s="104" t="str">
        <x:v>Integrity Requirement</x:v>
      </x:c>
      <x:c r="C44" s="104" t="str">
        <x:v>M</x:v>
      </x:c>
      <x:c r="D44" s="104" t="str">
        <x:v>Medium</x:v>
      </x:c>
      <x:c r="F44" t="str">
        <x:v>IR:M</x:v>
      </x:c>
      <x:c r="G44" t="str">
        <x:v>Medium</x:v>
      </x:c>
    </x:row>
    <x:row r="45" ht="22" customHeight="1">
      <x:c r="A45" s="104" t="str">
        <x:v>IR</x:v>
      </x:c>
      <x:c r="B45" s="104" t="str">
        <x:v>Integrity Requirement</x:v>
      </x:c>
      <x:c r="C45" s="104" t="str">
        <x:v>L</x:v>
      </x:c>
      <x:c r="D45" s="104" t="str">
        <x:v>Low</x:v>
      </x:c>
      <x:c r="F45" t="str">
        <x:v>IR:L</x:v>
      </x:c>
      <x:c r="G45" t="str">
        <x:v>Low</x:v>
      </x:c>
    </x:row>
    <x:row r="46" ht="22" customHeight="1">
      <x:c r="A46" s="104" t="str">
        <x:v>AR</x:v>
      </x:c>
      <x:c r="B46" s="104" t="str">
        <x:v>Availability Requirement</x:v>
      </x:c>
      <x:c r="C46" s="104" t="str">
        <x:v>X</x:v>
      </x:c>
      <x:c r="D46" s="104" t="str">
        <x:v>Not Defined (defaults to High)</x:v>
      </x:c>
      <x:c r="F46" t="str">
        <x:v>AR:X</x:v>
      </x:c>
      <x:c r="G46" t="str">
        <x:v>Not Defined (defaults to High)</x:v>
      </x:c>
    </x:row>
    <x:row r="47" ht="22" customHeight="1">
      <x:c r="A47" s="104" t="str">
        <x:v>AR</x:v>
      </x:c>
      <x:c r="B47" s="104" t="str">
        <x:v>Availability Requirement</x:v>
      </x:c>
      <x:c r="C47" s="104" t="str">
        <x:v>H</x:v>
      </x:c>
      <x:c r="D47" s="104" t="str">
        <x:v>High</x:v>
      </x:c>
      <x:c r="F47" t="str">
        <x:v>AR:H</x:v>
      </x:c>
      <x:c r="G47" t="str">
        <x:v>High</x:v>
      </x:c>
    </x:row>
    <x:row r="48" ht="22" customHeight="1">
      <x:c r="A48" s="104" t="str">
        <x:v>AR</x:v>
      </x:c>
      <x:c r="B48" s="104" t="str">
        <x:v>Availability Requirement</x:v>
      </x:c>
      <x:c r="C48" s="104" t="str">
        <x:v>M</x:v>
      </x:c>
      <x:c r="D48" s="104" t="str">
        <x:v>Medium</x:v>
      </x:c>
      <x:c r="F48" t="str">
        <x:v>AR:M</x:v>
      </x:c>
      <x:c r="G48" t="str">
        <x:v>Medium</x:v>
      </x:c>
    </x:row>
    <x:row r="49" ht="22" customHeight="1">
      <x:c r="A49" s="104" t="str">
        <x:v>AR</x:v>
      </x:c>
      <x:c r="B49" s="104" t="str">
        <x:v>Availability Requirement</x:v>
      </x:c>
      <x:c r="C49" s="104" t="str">
        <x:v>L</x:v>
      </x:c>
      <x:c r="D49" s="104" t="str">
        <x:v>Low</x:v>
      </x:c>
      <x:c r="F49" t="str">
        <x:v>AR:L</x:v>
      </x:c>
      <x:c r="G49" t="str">
        <x:v>Low</x:v>
      </x:c>
    </x:row>
    <x:row r="50" ht="22" customHeight="1">
      <x:c r="A50" s="104" t="str">
        <x:v>MAV</x:v>
      </x:c>
      <x:c r="B50" s="104" t="str">
        <x:v>Modified Attack Vector</x:v>
      </x:c>
      <x:c r="C50" s="104" t="str">
        <x:v>X</x:v>
      </x:c>
      <x:c r="D50" s="104" t="str">
        <x:v>Not Defined (use AV)</x:v>
      </x:c>
      <x:c r="F50" t="str">
        <x:v>MAV:X</x:v>
      </x:c>
      <x:c r="G50" t="str">
        <x:v>Not Defined (use AV)</x:v>
      </x:c>
    </x:row>
    <x:row r="51" ht="22" customHeight="1">
      <x:c r="A51" s="104" t="str">
        <x:v>MAV</x:v>
      </x:c>
      <x:c r="B51" s="104" t="str">
        <x:v>Modified Attack Vector</x:v>
      </x:c>
      <x:c r="C51" s="104" t="str">
        <x:v>N</x:v>
      </x:c>
      <x:c r="D51" s="104" t="str">
        <x:v>Network</x:v>
      </x:c>
      <x:c r="F51" t="str">
        <x:v>MAV:N</x:v>
      </x:c>
      <x:c r="G51" t="str">
        <x:v>Network</x:v>
      </x:c>
    </x:row>
    <x:row r="52" ht="22" customHeight="1">
      <x:c r="A52" s="104" t="str">
        <x:v>MAV</x:v>
      </x:c>
      <x:c r="B52" s="104" t="str">
        <x:v>Modified Attack Vector</x:v>
      </x:c>
      <x:c r="C52" s="104" t="str">
        <x:v>A</x:v>
      </x:c>
      <x:c r="D52" s="104" t="str">
        <x:v>Adjacent</x:v>
      </x:c>
      <x:c r="F52" t="str">
        <x:v>MAV:A</x:v>
      </x:c>
      <x:c r="G52" t="str">
        <x:v>Adjacent</x:v>
      </x:c>
    </x:row>
    <x:row r="53" ht="22" customHeight="1">
      <x:c r="A53" s="104" t="str">
        <x:v>MAV</x:v>
      </x:c>
      <x:c r="B53" s="104" t="str">
        <x:v>Modified Attack Vector</x:v>
      </x:c>
      <x:c r="C53" s="104" t="str">
        <x:v>L</x:v>
      </x:c>
      <x:c r="D53" s="104" t="str">
        <x:v>Local</x:v>
      </x:c>
      <x:c r="F53" t="str">
        <x:v>MAV:L</x:v>
      </x:c>
      <x:c r="G53" t="str">
        <x:v>Local</x:v>
      </x:c>
    </x:row>
    <x:row r="54" ht="22" customHeight="1">
      <x:c r="A54" s="104" t="str">
        <x:v>MAV</x:v>
      </x:c>
      <x:c r="B54" s="104" t="str">
        <x:v>Modified Attack Vector</x:v>
      </x:c>
      <x:c r="C54" s="104" t="str">
        <x:v>P</x:v>
      </x:c>
      <x:c r="D54" s="104" t="str">
        <x:v>Physical</x:v>
      </x:c>
      <x:c r="F54" t="str">
        <x:v>MAV:P</x:v>
      </x:c>
      <x:c r="G54" t="str">
        <x:v>Physical</x:v>
      </x:c>
    </x:row>
    <x:row r="55" ht="22" customHeight="1">
      <x:c r="A55" s="104" t="str">
        <x:v>MAC</x:v>
      </x:c>
      <x:c r="B55" s="104" t="str">
        <x:v>Modified Attack Complexity</x:v>
      </x:c>
      <x:c r="C55" s="104" t="str">
        <x:v>X</x:v>
      </x:c>
      <x:c r="D55" s="104" t="str">
        <x:v>Not Defined (use AC)</x:v>
      </x:c>
      <x:c r="F55" t="str">
        <x:v>MAC:X</x:v>
      </x:c>
      <x:c r="G55" t="str">
        <x:v>Not Defined (use AC)</x:v>
      </x:c>
    </x:row>
    <x:row r="56" ht="22" customHeight="1">
      <x:c r="A56" s="104" t="str">
        <x:v>MAC</x:v>
      </x:c>
      <x:c r="B56" s="104" t="str">
        <x:v>Modified Attack Complexity</x:v>
      </x:c>
      <x:c r="C56" s="104" t="str">
        <x:v>L</x:v>
      </x:c>
      <x:c r="D56" s="104" t="str">
        <x:v>Low</x:v>
      </x:c>
      <x:c r="F56" t="str">
        <x:v>MAC:L</x:v>
      </x:c>
      <x:c r="G56" t="str">
        <x:v>Low</x:v>
      </x:c>
    </x:row>
    <x:row r="57" ht="22" customHeight="1">
      <x:c r="A57" s="104" t="str">
        <x:v>MAC</x:v>
      </x:c>
      <x:c r="B57" s="104" t="str">
        <x:v>Modified Attack Complexity</x:v>
      </x:c>
      <x:c r="C57" s="104" t="str">
        <x:v>H</x:v>
      </x:c>
      <x:c r="D57" s="104" t="str">
        <x:v>High</x:v>
      </x:c>
      <x:c r="F57" t="str">
        <x:v>MAC:H</x:v>
      </x:c>
      <x:c r="G57" t="str">
        <x:v>High</x:v>
      </x:c>
    </x:row>
    <x:row r="58" ht="22" customHeight="1">
      <x:c r="A58" s="104" t="str">
        <x:v>MAT</x:v>
      </x:c>
      <x:c r="B58" s="104" t="str">
        <x:v>Modified Attack Requirements</x:v>
      </x:c>
      <x:c r="C58" s="104" t="str">
        <x:v>X</x:v>
      </x:c>
      <x:c r="D58" s="104" t="str">
        <x:v>Not Defined (use AT)</x:v>
      </x:c>
      <x:c r="F58" t="str">
        <x:v>MAT:X</x:v>
      </x:c>
      <x:c r="G58" t="str">
        <x:v>Not Defined (use AT)</x:v>
      </x:c>
    </x:row>
    <x:row r="59" ht="22" customHeight="1">
      <x:c r="A59" s="104" t="str">
        <x:v>MAT</x:v>
      </x:c>
      <x:c r="B59" s="104" t="str">
        <x:v>Modified Attack Requirements</x:v>
      </x:c>
      <x:c r="C59" s="104" t="str">
        <x:v>N</x:v>
      </x:c>
      <x:c r="D59" s="104" t="str">
        <x:v>None</x:v>
      </x:c>
      <x:c r="F59" t="str">
        <x:v>MAT:N</x:v>
      </x:c>
      <x:c r="G59" t="str">
        <x:v>None</x:v>
      </x:c>
    </x:row>
    <x:row r="60" ht="22" customHeight="1">
      <x:c r="A60" s="104" t="str">
        <x:v>MAT</x:v>
      </x:c>
      <x:c r="B60" s="104" t="str">
        <x:v>Modified Attack Requirements</x:v>
      </x:c>
      <x:c r="C60" s="104" t="str">
        <x:v>P</x:v>
      </x:c>
      <x:c r="D60" s="104" t="str">
        <x:v>Present</x:v>
      </x:c>
      <x:c r="F60" t="str">
        <x:v>MAT:P</x:v>
      </x:c>
      <x:c r="G60" t="str">
        <x:v>Present</x:v>
      </x:c>
    </x:row>
    <x:row r="61" ht="22" customHeight="1">
      <x:c r="A61" s="104" t="str">
        <x:v>MPR</x:v>
      </x:c>
      <x:c r="B61" s="104" t="str">
        <x:v>Modified Privileges Required</x:v>
      </x:c>
      <x:c r="C61" s="104" t="str">
        <x:v>X</x:v>
      </x:c>
      <x:c r="D61" s="104" t="str">
        <x:v>Not Defined (use PR)</x:v>
      </x:c>
      <x:c r="F61" t="str">
        <x:v>MPR:X</x:v>
      </x:c>
      <x:c r="G61" t="str">
        <x:v>Not Defined (use PR)</x:v>
      </x:c>
    </x:row>
    <x:row r="62" ht="22" customHeight="1">
      <x:c r="A62" s="104" t="str">
        <x:v>MPR</x:v>
      </x:c>
      <x:c r="B62" s="104" t="str">
        <x:v>Modified Privileges Required</x:v>
      </x:c>
      <x:c r="C62" s="104" t="str">
        <x:v>N</x:v>
      </x:c>
      <x:c r="D62" s="104" t="str">
        <x:v>None</x:v>
      </x:c>
      <x:c r="F62" t="str">
        <x:v>MPR:N</x:v>
      </x:c>
      <x:c r="G62" t="str">
        <x:v>None</x:v>
      </x:c>
    </x:row>
    <x:row r="63" ht="22" customHeight="1">
      <x:c r="A63" s="104" t="str">
        <x:v>MPR</x:v>
      </x:c>
      <x:c r="B63" s="104" t="str">
        <x:v>Modified Privileges Required</x:v>
      </x:c>
      <x:c r="C63" s="104" t="str">
        <x:v>L</x:v>
      </x:c>
      <x:c r="D63" s="104" t="str">
        <x:v>Low</x:v>
      </x:c>
      <x:c r="F63" t="str">
        <x:v>MPR:L</x:v>
      </x:c>
      <x:c r="G63" t="str">
        <x:v>Low</x:v>
      </x:c>
    </x:row>
    <x:row r="64" ht="22" customHeight="1">
      <x:c r="A64" s="104" t="str">
        <x:v>MPR</x:v>
      </x:c>
      <x:c r="B64" s="104" t="str">
        <x:v>Modified Privileges Required</x:v>
      </x:c>
      <x:c r="C64" s="104" t="str">
        <x:v>H</x:v>
      </x:c>
      <x:c r="D64" s="104" t="str">
        <x:v>High</x:v>
      </x:c>
      <x:c r="F64" t="str">
        <x:v>MPR:H</x:v>
      </x:c>
      <x:c r="G64" t="str">
        <x:v>High</x:v>
      </x:c>
    </x:row>
    <x:row r="65" ht="22" customHeight="1">
      <x:c r="A65" s="104" t="str">
        <x:v>MUI</x:v>
      </x:c>
      <x:c r="B65" s="104" t="str">
        <x:v>Modified User Interaction</x:v>
      </x:c>
      <x:c r="C65" s="104" t="str">
        <x:v>X</x:v>
      </x:c>
      <x:c r="D65" s="104" t="str">
        <x:v>Not Defined (use UI)</x:v>
      </x:c>
      <x:c r="F65" t="str">
        <x:v>MUI:X</x:v>
      </x:c>
      <x:c r="G65" t="str">
        <x:v>Not Defined (use UI)</x:v>
      </x:c>
    </x:row>
    <x:row r="66" ht="22" customHeight="1">
      <x:c r="A66" s="104" t="str">
        <x:v>MUI</x:v>
      </x:c>
      <x:c r="B66" s="104" t="str">
        <x:v>Modified User Interaction</x:v>
      </x:c>
      <x:c r="C66" s="104" t="str">
        <x:v>N</x:v>
      </x:c>
      <x:c r="D66" s="104" t="str">
        <x:v>None</x:v>
      </x:c>
      <x:c r="F66" t="str">
        <x:v>MUI:N</x:v>
      </x:c>
      <x:c r="G66" t="str">
        <x:v>None</x:v>
      </x:c>
    </x:row>
    <x:row r="67" ht="22" customHeight="1">
      <x:c r="A67" s="104" t="str">
        <x:v>MUI</x:v>
      </x:c>
      <x:c r="B67" s="104" t="str">
        <x:v>Modified User Interaction</x:v>
      </x:c>
      <x:c r="C67" s="104" t="str">
        <x:v>P</x:v>
      </x:c>
      <x:c r="D67" s="104" t="str">
        <x:v>Passive</x:v>
      </x:c>
      <x:c r="F67" t="str">
        <x:v>MUI:P</x:v>
      </x:c>
      <x:c r="G67" t="str">
        <x:v>Passive</x:v>
      </x:c>
    </x:row>
    <x:row r="68" ht="22" customHeight="1">
      <x:c r="A68" s="104" t="str">
        <x:v>MUI</x:v>
      </x:c>
      <x:c r="B68" s="104" t="str">
        <x:v>Modified User Interaction</x:v>
      </x:c>
      <x:c r="C68" s="104" t="str">
        <x:v>A</x:v>
      </x:c>
      <x:c r="D68" s="104" t="str">
        <x:v>Active</x:v>
      </x:c>
      <x:c r="F68" t="str">
        <x:v>MUI:A</x:v>
      </x:c>
      <x:c r="G68" t="str">
        <x:v>Active</x:v>
      </x:c>
    </x:row>
    <x:row r="69" ht="22" customHeight="1">
      <x:c r="A69" s="104" t="str">
        <x:v>MVC</x:v>
      </x:c>
      <x:c r="B69" s="104" t="str">
        <x:v>Modified Vulnerable System Confidentiality</x:v>
      </x:c>
      <x:c r="C69" s="104" t="str">
        <x:v>X</x:v>
      </x:c>
      <x:c r="D69" s="104" t="str">
        <x:v>Not Defined (use VC)</x:v>
      </x:c>
      <x:c r="F69" t="str">
        <x:v>MVC:X</x:v>
      </x:c>
      <x:c r="G69" t="str">
        <x:v>Not Defined (use VC)</x:v>
      </x:c>
    </x:row>
    <x:row r="70" ht="22" customHeight="1">
      <x:c r="A70" s="104" t="str">
        <x:v>MVC</x:v>
      </x:c>
      <x:c r="B70" s="104" t="str">
        <x:v>Modified Vulnerable System Confidentiality</x:v>
      </x:c>
      <x:c r="C70" s="104" t="str">
        <x:v>H</x:v>
      </x:c>
      <x:c r="D70" s="104" t="str">
        <x:v>High</x:v>
      </x:c>
      <x:c r="F70" t="str">
        <x:v>MVC:H</x:v>
      </x:c>
      <x:c r="G70" t="str">
        <x:v>High</x:v>
      </x:c>
    </x:row>
    <x:row r="71" ht="22" customHeight="1">
      <x:c r="A71" s="104" t="str">
        <x:v>MVC</x:v>
      </x:c>
      <x:c r="B71" s="104" t="str">
        <x:v>Modified Vulnerable System Confidentiality</x:v>
      </x:c>
      <x:c r="C71" s="104" t="str">
        <x:v>L</x:v>
      </x:c>
      <x:c r="D71" s="104" t="str">
        <x:v>Low</x:v>
      </x:c>
      <x:c r="F71" t="str">
        <x:v>MVC:L</x:v>
      </x:c>
      <x:c r="G71" t="str">
        <x:v>Low</x:v>
      </x:c>
    </x:row>
    <x:row r="72" ht="22" customHeight="1">
      <x:c r="A72" s="104" t="str">
        <x:v>MVC</x:v>
      </x:c>
      <x:c r="B72" s="104" t="str">
        <x:v>Modified Vulnerable System Confidentiality</x:v>
      </x:c>
      <x:c r="C72" s="104" t="str">
        <x:v>N</x:v>
      </x:c>
      <x:c r="D72" s="104" t="str">
        <x:v>None</x:v>
      </x:c>
      <x:c r="F72" t="str">
        <x:v>MVC:N</x:v>
      </x:c>
      <x:c r="G72" t="str">
        <x:v>None</x:v>
      </x:c>
    </x:row>
    <x:row r="73" ht="22" customHeight="1">
      <x:c r="A73" s="104" t="str">
        <x:v>MVI</x:v>
      </x:c>
      <x:c r="B73" s="104" t="str">
        <x:v>Modified Vulnerable System Integrity</x:v>
      </x:c>
      <x:c r="C73" s="104" t="str">
        <x:v>X</x:v>
      </x:c>
      <x:c r="D73" s="104" t="str">
        <x:v>Not Defined (use VI)</x:v>
      </x:c>
      <x:c r="F73" t="str">
        <x:v>MVI:X</x:v>
      </x:c>
      <x:c r="G73" t="str">
        <x:v>Not Defined (use VI)</x:v>
      </x:c>
    </x:row>
    <x:row r="74" ht="22" customHeight="1">
      <x:c r="A74" s="104" t="str">
        <x:v>MVI</x:v>
      </x:c>
      <x:c r="B74" s="104" t="str">
        <x:v>Modified Vulnerable System Integrity</x:v>
      </x:c>
      <x:c r="C74" s="104" t="str">
        <x:v>H</x:v>
      </x:c>
      <x:c r="D74" s="104" t="str">
        <x:v>High</x:v>
      </x:c>
      <x:c r="F74" t="str">
        <x:v>MVI:H</x:v>
      </x:c>
      <x:c r="G74" t="str">
        <x:v>High</x:v>
      </x:c>
    </x:row>
    <x:row r="75" ht="22" customHeight="1">
      <x:c r="A75" s="104" t="str">
        <x:v>MVI</x:v>
      </x:c>
      <x:c r="B75" s="104" t="str">
        <x:v>Modified Vulnerable System Integrity</x:v>
      </x:c>
      <x:c r="C75" s="104" t="str">
        <x:v>L</x:v>
      </x:c>
      <x:c r="D75" s="104" t="str">
        <x:v>Low</x:v>
      </x:c>
      <x:c r="F75" t="str">
        <x:v>MVI:L</x:v>
      </x:c>
      <x:c r="G75" t="str">
        <x:v>Low</x:v>
      </x:c>
    </x:row>
    <x:row r="76" ht="22" customHeight="1">
      <x:c r="A76" s="104" t="str">
        <x:v>MVI</x:v>
      </x:c>
      <x:c r="B76" s="104" t="str">
        <x:v>Modified Vulnerable System Integrity</x:v>
      </x:c>
      <x:c r="C76" s="104" t="str">
        <x:v>N</x:v>
      </x:c>
      <x:c r="D76" s="104" t="str">
        <x:v>None</x:v>
      </x:c>
      <x:c r="F76" t="str">
        <x:v>MVI:N</x:v>
      </x:c>
      <x:c r="G76" t="str">
        <x:v>None</x:v>
      </x:c>
    </x:row>
    <x:row r="77" ht="22" customHeight="1">
      <x:c r="A77" s="104" t="str">
        <x:v>MVA</x:v>
      </x:c>
      <x:c r="B77" s="104" t="str">
        <x:v>Modified Vulnerable System Availability</x:v>
      </x:c>
      <x:c r="C77" s="104" t="str">
        <x:v>X</x:v>
      </x:c>
      <x:c r="D77" s="104" t="str">
        <x:v>Not Defined (use VA)</x:v>
      </x:c>
      <x:c r="F77" t="str">
        <x:v>MVA:X</x:v>
      </x:c>
      <x:c r="G77" t="str">
        <x:v>Not Defined (use VA)</x:v>
      </x:c>
    </x:row>
    <x:row r="78" ht="22" customHeight="1">
      <x:c r="A78" s="104" t="str">
        <x:v>MVA</x:v>
      </x:c>
      <x:c r="B78" s="104" t="str">
        <x:v>Modified Vulnerable System Availability</x:v>
      </x:c>
      <x:c r="C78" s="104" t="str">
        <x:v>H</x:v>
      </x:c>
      <x:c r="D78" s="104" t="str">
        <x:v>High</x:v>
      </x:c>
      <x:c r="F78" t="str">
        <x:v>MVA:H</x:v>
      </x:c>
      <x:c r="G78" t="str">
        <x:v>High</x:v>
      </x:c>
    </x:row>
    <x:row r="79" ht="22" customHeight="1">
      <x:c r="A79" s="104" t="str">
        <x:v>MVA</x:v>
      </x:c>
      <x:c r="B79" s="104" t="str">
        <x:v>Modified Vulnerable System Availability</x:v>
      </x:c>
      <x:c r="C79" s="104" t="str">
        <x:v>L</x:v>
      </x:c>
      <x:c r="D79" s="104" t="str">
        <x:v>Low</x:v>
      </x:c>
      <x:c r="F79" t="str">
        <x:v>MVA:L</x:v>
      </x:c>
      <x:c r="G79" t="str">
        <x:v>Low</x:v>
      </x:c>
    </x:row>
    <x:row r="80" ht="22" customHeight="1">
      <x:c r="A80" s="104" t="str">
        <x:v>MVA</x:v>
      </x:c>
      <x:c r="B80" s="104" t="str">
        <x:v>Modified Vulnerable System Availability</x:v>
      </x:c>
      <x:c r="C80" s="104" t="str">
        <x:v>N</x:v>
      </x:c>
      <x:c r="D80" s="104" t="str">
        <x:v>None</x:v>
      </x:c>
      <x:c r="F80" t="str">
        <x:v>MVA:N</x:v>
      </x:c>
      <x:c r="G80" t="str">
        <x:v>None</x:v>
      </x:c>
    </x:row>
    <x:row r="81" ht="22" customHeight="1">
      <x:c r="A81" s="104" t="str">
        <x:v>MSC</x:v>
      </x:c>
      <x:c r="B81" s="104" t="str">
        <x:v>Modified Subsequent System Confidentiality</x:v>
      </x:c>
      <x:c r="C81" s="104" t="str">
        <x:v>X</x:v>
      </x:c>
      <x:c r="D81" s="104" t="str">
        <x:v>Not Defined (use SC)</x:v>
      </x:c>
      <x:c r="F81" t="str">
        <x:v>MSC:X</x:v>
      </x:c>
      <x:c r="G81" t="str">
        <x:v>Not Defined (use SC)</x:v>
      </x:c>
    </x:row>
    <x:row r="82" ht="22" customHeight="1">
      <x:c r="A82" s="104" t="str">
        <x:v>MSC</x:v>
      </x:c>
      <x:c r="B82" s="104" t="str">
        <x:v>Modified Subsequent System Confidentiality</x:v>
      </x:c>
      <x:c r="C82" s="104" t="str">
        <x:v>H</x:v>
      </x:c>
      <x:c r="D82" s="104" t="str">
        <x:v>High</x:v>
      </x:c>
      <x:c r="F82" t="str">
        <x:v>MSC:H</x:v>
      </x:c>
      <x:c r="G82" t="str">
        <x:v>High</x:v>
      </x:c>
    </x:row>
    <x:row r="83" ht="22" customHeight="1">
      <x:c r="A83" s="104" t="str">
        <x:v>MSC</x:v>
      </x:c>
      <x:c r="B83" s="104" t="str">
        <x:v>Modified Subsequent System Confidentiality</x:v>
      </x:c>
      <x:c r="C83" s="104" t="str">
        <x:v>L</x:v>
      </x:c>
      <x:c r="D83" s="104" t="str">
        <x:v>Low</x:v>
      </x:c>
      <x:c r="F83" t="str">
        <x:v>MSC:L</x:v>
      </x:c>
      <x:c r="G83" t="str">
        <x:v>Low</x:v>
      </x:c>
    </x:row>
    <x:row r="84" ht="22" customHeight="1">
      <x:c r="A84" s="104" t="str">
        <x:v>MSC</x:v>
      </x:c>
      <x:c r="B84" s="104" t="str">
        <x:v>Modified Subsequent System Confidentiality</x:v>
      </x:c>
      <x:c r="C84" s="104" t="str">
        <x:v>N</x:v>
      </x:c>
      <x:c r="D84" s="104" t="str">
        <x:v>None</x:v>
      </x:c>
      <x:c r="F84" t="str">
        <x:v>MSC:N</x:v>
      </x:c>
      <x:c r="G84" t="str">
        <x:v>None</x:v>
      </x:c>
    </x:row>
    <x:row r="85" ht="22" customHeight="1">
      <x:c r="A85" s="104" t="str">
        <x:v>MSI</x:v>
      </x:c>
      <x:c r="B85" s="104" t="str">
        <x:v>Modified Subsequent System Integrity</x:v>
      </x:c>
      <x:c r="C85" s="104" t="str">
        <x:v>X</x:v>
      </x:c>
      <x:c r="D85" s="104" t="str">
        <x:v>Not Defined (use SI)</x:v>
      </x:c>
      <x:c r="F85" t="str">
        <x:v>MSI:X</x:v>
      </x:c>
      <x:c r="G85" t="str">
        <x:v>Not Defined (use SI)</x:v>
      </x:c>
    </x:row>
    <x:row r="86" ht="22" customHeight="1">
      <x:c r="A86" s="104" t="str">
        <x:v>MSI</x:v>
      </x:c>
      <x:c r="B86" s="104" t="str">
        <x:v>Modified Subsequent System Integrity</x:v>
      </x:c>
      <x:c r="C86" s="104" t="str">
        <x:v>S</x:v>
      </x:c>
      <x:c r="D86" s="104" t="str">
        <x:v>Safety impact</x:v>
      </x:c>
      <x:c r="F86" t="str">
        <x:v>MSI:S</x:v>
      </x:c>
      <x:c r="G86" t="str">
        <x:v>Safety impact</x:v>
      </x:c>
    </x:row>
    <x:row r="87" ht="22" customHeight="1">
      <x:c r="A87" s="104" t="str">
        <x:v>MSI</x:v>
      </x:c>
      <x:c r="B87" s="104" t="str">
        <x:v>Modified Subsequent System Integrity</x:v>
      </x:c>
      <x:c r="C87" s="104" t="str">
        <x:v>H</x:v>
      </x:c>
      <x:c r="D87" s="104" t="str">
        <x:v>High</x:v>
      </x:c>
      <x:c r="F87" t="str">
        <x:v>MSI:H</x:v>
      </x:c>
      <x:c r="G87" t="str">
        <x:v>High</x:v>
      </x:c>
    </x:row>
    <x:row r="88" ht="22" customHeight="1">
      <x:c r="A88" s="104" t="str">
        <x:v>MSI</x:v>
      </x:c>
      <x:c r="B88" s="104" t="str">
        <x:v>Modified Subsequent System Integrity</x:v>
      </x:c>
      <x:c r="C88" s="104" t="str">
        <x:v>L</x:v>
      </x:c>
      <x:c r="D88" s="104" t="str">
        <x:v>Low</x:v>
      </x:c>
      <x:c r="F88" t="str">
        <x:v>MSI:L</x:v>
      </x:c>
      <x:c r="G88" t="str">
        <x:v>Low</x:v>
      </x:c>
    </x:row>
    <x:row r="89" ht="22" customHeight="1">
      <x:c r="A89" s="104" t="str">
        <x:v>MSI</x:v>
      </x:c>
      <x:c r="B89" s="104" t="str">
        <x:v>Modified Subsequent System Integrity</x:v>
      </x:c>
      <x:c r="C89" s="104" t="str">
        <x:v>N</x:v>
      </x:c>
      <x:c r="D89" s="104" t="str">
        <x:v>None</x:v>
      </x:c>
      <x:c r="F89" t="str">
        <x:v>MSI:N</x:v>
      </x:c>
      <x:c r="G89" t="str">
        <x:v>None</x:v>
      </x:c>
    </x:row>
    <x:row r="90" ht="22" customHeight="1">
      <x:c r="A90" s="104" t="str">
        <x:v>MSA</x:v>
      </x:c>
      <x:c r="B90" s="104" t="str">
        <x:v>Modified Subsequent System Availability</x:v>
      </x:c>
      <x:c r="C90" s="104" t="str">
        <x:v>X</x:v>
      </x:c>
      <x:c r="D90" s="104" t="str">
        <x:v>Not Defined (use SA)</x:v>
      </x:c>
      <x:c r="F90" t="str">
        <x:v>MSA:X</x:v>
      </x:c>
      <x:c r="G90" t="str">
        <x:v>Not Defined (use SA)</x:v>
      </x:c>
    </x:row>
    <x:row r="91" ht="22" customHeight="1">
      <x:c r="A91" s="104" t="str">
        <x:v>MSA</x:v>
      </x:c>
      <x:c r="B91" s="104" t="str">
        <x:v>Modified Subsequent System Availability</x:v>
      </x:c>
      <x:c r="C91" s="104" t="str">
        <x:v>S</x:v>
      </x:c>
      <x:c r="D91" s="104" t="str">
        <x:v>Safety impact</x:v>
      </x:c>
      <x:c r="F91" t="str">
        <x:v>MSA:S</x:v>
      </x:c>
      <x:c r="G91" t="str">
        <x:v>Safety impact</x:v>
      </x:c>
    </x:row>
    <x:row r="92" ht="22" customHeight="1">
      <x:c r="A92" s="104" t="str">
        <x:v>MSA</x:v>
      </x:c>
      <x:c r="B92" s="104" t="str">
        <x:v>Modified Subsequent System Availability</x:v>
      </x:c>
      <x:c r="C92" s="104" t="str">
        <x:v>H</x:v>
      </x:c>
      <x:c r="D92" s="104" t="str">
        <x:v>High</x:v>
      </x:c>
      <x:c r="F92" t="str">
        <x:v>MSA:H</x:v>
      </x:c>
      <x:c r="G92" t="str">
        <x:v>High</x:v>
      </x:c>
    </x:row>
    <x:row r="93" ht="22" customHeight="1">
      <x:c r="A93" s="104" t="str">
        <x:v>MSA</x:v>
      </x:c>
      <x:c r="B93" s="104" t="str">
        <x:v>Modified Subsequent System Availability</x:v>
      </x:c>
      <x:c r="C93" s="104" t="str">
        <x:v>L</x:v>
      </x:c>
      <x:c r="D93" s="104" t="str">
        <x:v>Low</x:v>
      </x:c>
      <x:c r="F93" t="str">
        <x:v>MSA:L</x:v>
      </x:c>
      <x:c r="G93" t="str">
        <x:v>Low</x:v>
      </x:c>
    </x:row>
    <x:row r="94" ht="22" customHeight="1">
      <x:c r="A94" s="104" t="str">
        <x:v>MSA</x:v>
      </x:c>
      <x:c r="B94" s="104" t="str">
        <x:v>Modified Subsequent System Availability</x:v>
      </x:c>
      <x:c r="C94" s="104" t="str">
        <x:v>N</x:v>
      </x:c>
      <x:c r="D94" s="104" t="str">
        <x:v>None</x:v>
      </x:c>
      <x:c r="F94" t="str">
        <x:v>MSA:N</x:v>
      </x:c>
      <x:c r="G94" t="str">
        <x:v>None</x:v>
      </x:c>
    </x:row>
    <x:row r="95" ht="22" customHeight="1">
      <x:c r="A95" s="104" t="str">
        <x:v>S</x:v>
      </x:c>
      <x:c r="B95" s="104" t="str">
        <x:v>Safety</x:v>
      </x:c>
      <x:c r="C95" s="104" t="str">
        <x:v>X</x:v>
      </x:c>
      <x:c r="D95" s="104" t="str">
        <x:v>Not Defined</x:v>
      </x:c>
      <x:c r="F95" t="str">
        <x:v>S:X</x:v>
      </x:c>
      <x:c r="G95" t="str">
        <x:v>Not Defined</x:v>
      </x:c>
    </x:row>
    <x:row r="96" ht="22" customHeight="1">
      <x:c r="A96" s="104" t="str">
        <x:v>S</x:v>
      </x:c>
      <x:c r="B96" s="104" t="str">
        <x:v>Safety</x:v>
      </x:c>
      <x:c r="C96" s="104" t="str">
        <x:v>N</x:v>
      </x:c>
      <x:c r="D96" s="104" t="str">
        <x:v>Negligible</x:v>
      </x:c>
      <x:c r="F96" t="str">
        <x:v>S:N</x:v>
      </x:c>
      <x:c r="G96" t="str">
        <x:v>Negligible</x:v>
      </x:c>
    </x:row>
    <x:row r="97" ht="22" customHeight="1">
      <x:c r="A97" s="104" t="str">
        <x:v>S</x:v>
      </x:c>
      <x:c r="B97" s="104" t="str">
        <x:v>Safety</x:v>
      </x:c>
      <x:c r="C97" s="104" t="str">
        <x:v>P</x:v>
      </x:c>
      <x:c r="D97" s="104" t="str">
        <x:v>Present</x:v>
      </x:c>
      <x:c r="F97" t="str">
        <x:v>S:P</x:v>
      </x:c>
      <x:c r="G97" t="str">
        <x:v>Present</x:v>
      </x:c>
    </x:row>
    <x:row r="98" ht="22" customHeight="1">
      <x:c r="A98" s="104" t="str">
        <x:v>AU</x:v>
      </x:c>
      <x:c r="B98" s="104" t="str">
        <x:v>Automatable</x:v>
      </x:c>
      <x:c r="C98" s="104" t="str">
        <x:v>X</x:v>
      </x:c>
      <x:c r="D98" s="104" t="str">
        <x:v>Not Defined</x:v>
      </x:c>
      <x:c r="F98" t="str">
        <x:v>AU:X</x:v>
      </x:c>
      <x:c r="G98" t="str">
        <x:v>Not Defined</x:v>
      </x:c>
    </x:row>
    <x:row r="99" ht="22" customHeight="1">
      <x:c r="A99" s="104" t="str">
        <x:v>AU</x:v>
      </x:c>
      <x:c r="B99" s="104" t="str">
        <x:v>Automatable</x:v>
      </x:c>
      <x:c r="C99" s="104" t="str">
        <x:v>N</x:v>
      </x:c>
      <x:c r="D99" s="104" t="str">
        <x:v>No</x:v>
      </x:c>
      <x:c r="F99" t="str">
        <x:v>AU:N</x:v>
      </x:c>
      <x:c r="G99" t="str">
        <x:v>No</x:v>
      </x:c>
    </x:row>
    <x:row r="100" ht="22" customHeight="1">
      <x:c r="A100" s="104" t="str">
        <x:v>AU</x:v>
      </x:c>
      <x:c r="B100" s="104" t="str">
        <x:v>Automatable</x:v>
      </x:c>
      <x:c r="C100" s="104" t="str">
        <x:v>Y</x:v>
      </x:c>
      <x:c r="D100" s="104" t="str">
        <x:v>Yes</x:v>
      </x:c>
      <x:c r="F100" t="str">
        <x:v>AU:Y</x:v>
      </x:c>
      <x:c r="G100" t="str">
        <x:v>Yes</x:v>
      </x:c>
    </x:row>
    <x:row r="101" ht="22" customHeight="1">
      <x:c r="A101" s="104" t="str">
        <x:v>R</x:v>
      </x:c>
      <x:c r="B101" s="104" t="str">
        <x:v>Recovery</x:v>
      </x:c>
      <x:c r="C101" s="104" t="str">
        <x:v>X</x:v>
      </x:c>
      <x:c r="D101" s="104" t="str">
        <x:v>Not Defined</x:v>
      </x:c>
      <x:c r="F101" t="str">
        <x:v>R:X</x:v>
      </x:c>
      <x:c r="G101" t="str">
        <x:v>Not Defined</x:v>
      </x:c>
    </x:row>
    <x:row r="102" ht="22" customHeight="1">
      <x:c r="A102" s="104" t="str">
        <x:v>R</x:v>
      </x:c>
      <x:c r="B102" s="104" t="str">
        <x:v>Recovery</x:v>
      </x:c>
      <x:c r="C102" s="104" t="str">
        <x:v>A</x:v>
      </x:c>
      <x:c r="D102" s="104" t="str">
        <x:v>Automatic</x:v>
      </x:c>
      <x:c r="F102" t="str">
        <x:v>R:A</x:v>
      </x:c>
      <x:c r="G102" t="str">
        <x:v>Automatic</x:v>
      </x:c>
    </x:row>
    <x:row r="103" ht="22" customHeight="1">
      <x:c r="A103" s="104" t="str">
        <x:v>R</x:v>
      </x:c>
      <x:c r="B103" s="104" t="str">
        <x:v>Recovery</x:v>
      </x:c>
      <x:c r="C103" s="104" t="str">
        <x:v>U</x:v>
      </x:c>
      <x:c r="D103" s="104" t="str">
        <x:v>User-assisted</x:v>
      </x:c>
      <x:c r="F103" t="str">
        <x:v>R:U</x:v>
      </x:c>
      <x:c r="G103" t="str">
        <x:v>User-assisted</x:v>
      </x:c>
    </x:row>
    <x:row r="104" ht="22" customHeight="1">
      <x:c r="A104" s="104" t="str">
        <x:v>R</x:v>
      </x:c>
      <x:c r="B104" s="104" t="str">
        <x:v>Recovery</x:v>
      </x:c>
      <x:c r="C104" s="104" t="str">
        <x:v>I</x:v>
      </x:c>
      <x:c r="D104" s="104" t="str">
        <x:v>Irrecoverable</x:v>
      </x:c>
      <x:c r="F104" t="str">
        <x:v>R:I</x:v>
      </x:c>
      <x:c r="G104" t="str">
        <x:v>Irrecoverable</x:v>
      </x:c>
    </x:row>
    <x:row r="105" ht="22" customHeight="1">
      <x:c r="A105" s="104" t="str">
        <x:v>V</x:v>
      </x:c>
      <x:c r="B105" s="104" t="str">
        <x:v>Value Density</x:v>
      </x:c>
      <x:c r="C105" s="104" t="str">
        <x:v>X</x:v>
      </x:c>
      <x:c r="D105" s="104" t="str">
        <x:v>Not Defined</x:v>
      </x:c>
      <x:c r="F105" t="str">
        <x:v>V:X</x:v>
      </x:c>
      <x:c r="G105" t="str">
        <x:v>Not Defined</x:v>
      </x:c>
    </x:row>
    <x:row r="106" ht="22" customHeight="1">
      <x:c r="A106" s="104" t="str">
        <x:v>V</x:v>
      </x:c>
      <x:c r="B106" s="104" t="str">
        <x:v>Value Density</x:v>
      </x:c>
      <x:c r="C106" s="104" t="str">
        <x:v>D</x:v>
      </x:c>
      <x:c r="D106" s="104" t="str">
        <x:v>Diffuse</x:v>
      </x:c>
      <x:c r="F106" t="str">
        <x:v>V:D</x:v>
      </x:c>
      <x:c r="G106" t="str">
        <x:v>Diffuse</x:v>
      </x:c>
    </x:row>
    <x:row r="107" ht="22" customHeight="1">
      <x:c r="A107" s="104" t="str">
        <x:v>V</x:v>
      </x:c>
      <x:c r="B107" s="104" t="str">
        <x:v>Value Density</x:v>
      </x:c>
      <x:c r="C107" s="104" t="str">
        <x:v>C</x:v>
      </x:c>
      <x:c r="D107" s="104" t="str">
        <x:v>Concentrated</x:v>
      </x:c>
      <x:c r="F107" t="str">
        <x:v>V:C</x:v>
      </x:c>
      <x:c r="G107" t="str">
        <x:v>Concentrated</x:v>
      </x:c>
    </x:row>
    <x:row r="108" ht="22" customHeight="1">
      <x:c r="A108" s="104" t="str">
        <x:v>RE</x:v>
      </x:c>
      <x:c r="B108" s="104" t="str">
        <x:v>Vulnerability Response Effort</x:v>
      </x:c>
      <x:c r="C108" s="104" t="str">
        <x:v>X</x:v>
      </x:c>
      <x:c r="D108" s="104" t="str">
        <x:v>Not Defined</x:v>
      </x:c>
      <x:c r="F108" t="str">
        <x:v>RE:X</x:v>
      </x:c>
      <x:c r="G108" t="str">
        <x:v>Not Defined</x:v>
      </x:c>
    </x:row>
    <x:row r="109" ht="22" customHeight="1">
      <x:c r="A109" s="104" t="str">
        <x:v>RE</x:v>
      </x:c>
      <x:c r="B109" s="104" t="str">
        <x:v>Vulnerability Response Effort</x:v>
      </x:c>
      <x:c r="C109" s="104" t="str">
        <x:v>L</x:v>
      </x:c>
      <x:c r="D109" s="104" t="str">
        <x:v>Low</x:v>
      </x:c>
      <x:c r="F109" t="str">
        <x:v>RE:L</x:v>
      </x:c>
      <x:c r="G109" t="str">
        <x:v>Low</x:v>
      </x:c>
    </x:row>
    <x:row r="110" ht="22" customHeight="1">
      <x:c r="A110" s="104" t="str">
        <x:v>RE</x:v>
      </x:c>
      <x:c r="B110" s="104" t="str">
        <x:v>Vulnerability Response Effort</x:v>
      </x:c>
      <x:c r="C110" s="104" t="str">
        <x:v>M</x:v>
      </x:c>
      <x:c r="D110" s="104" t="str">
        <x:v>Medium</x:v>
      </x:c>
      <x:c r="F110" t="str">
        <x:v>RE:M</x:v>
      </x:c>
      <x:c r="G110" t="str">
        <x:v>Medium</x:v>
      </x:c>
    </x:row>
    <x:row r="111" ht="22" customHeight="1">
      <x:c r="A111" s="104" t="str">
        <x:v>RE</x:v>
      </x:c>
      <x:c r="B111" s="104" t="str">
        <x:v>Vulnerability Response Effort</x:v>
      </x:c>
      <x:c r="C111" s="104" t="str">
        <x:v>H</x:v>
      </x:c>
      <x:c r="D111" s="104" t="str">
        <x:v>High</x:v>
      </x:c>
      <x:c r="F111" t="str">
        <x:v>RE:H</x:v>
      </x:c>
      <x:c r="G111" t="str">
        <x:v>High</x:v>
      </x:c>
    </x:row>
    <x:row r="112" ht="22" customHeight="1">
      <x:c r="A112" s="104" t="str">
        <x:v>U</x:v>
      </x:c>
      <x:c r="B112" s="104" t="str">
        <x:v>Provider Urgency</x:v>
      </x:c>
      <x:c r="C112" s="104" t="str">
        <x:v>X</x:v>
      </x:c>
      <x:c r="D112" s="104" t="str">
        <x:v>Not Defined</x:v>
      </x:c>
      <x:c r="F112" t="str">
        <x:v>U:X</x:v>
      </x:c>
      <x:c r="G112" t="str">
        <x:v>Not Defined</x:v>
      </x:c>
    </x:row>
    <x:row r="113" ht="22" customHeight="1">
      <x:c r="A113" s="104" t="str">
        <x:v>U</x:v>
      </x:c>
      <x:c r="B113" s="104" t="str">
        <x:v>Provider Urgency</x:v>
      </x:c>
      <x:c r="C113" s="104" t="str">
        <x:v>Clear</x:v>
      </x:c>
      <x:c r="D113" s="104" t="str">
        <x:v>Clear</x:v>
      </x:c>
      <x:c r="F113" t="str">
        <x:v>U:Clear</x:v>
      </x:c>
      <x:c r="G113" t="str">
        <x:v>Clear</x:v>
      </x:c>
    </x:row>
    <x:row r="114" ht="22" customHeight="1">
      <x:c r="A114" s="104" t="str">
        <x:v>U</x:v>
      </x:c>
      <x:c r="B114" s="104" t="str">
        <x:v>Provider Urgency</x:v>
      </x:c>
      <x:c r="C114" s="104" t="str">
        <x:v>Green</x:v>
      </x:c>
      <x:c r="D114" s="104" t="str">
        <x:v>Green</x:v>
      </x:c>
      <x:c r="F114" t="str">
        <x:v>U:Green</x:v>
      </x:c>
      <x:c r="G114" t="str">
        <x:v>Green</x:v>
      </x:c>
    </x:row>
    <x:row r="115" ht="22" customHeight="1">
      <x:c r="A115" s="104" t="str">
        <x:v>U</x:v>
      </x:c>
      <x:c r="B115" s="104" t="str">
        <x:v>Provider Urgency</x:v>
      </x:c>
      <x:c r="C115" s="104" t="str">
        <x:v>Amber</x:v>
      </x:c>
      <x:c r="D115" s="104" t="str">
        <x:v>Amber</x:v>
      </x:c>
      <x:c r="F115" t="str">
        <x:v>U:Amber</x:v>
      </x:c>
      <x:c r="G115" t="str">
        <x:v>Amber</x:v>
      </x:c>
    </x:row>
    <x:row r="116" ht="22" customHeight="1">
      <x:c r="A116" s="104" t="str">
        <x:v>U</x:v>
      </x:c>
      <x:c r="B116" s="104" t="str">
        <x:v>Provider Urgency</x:v>
      </x:c>
      <x:c r="C116" s="104" t="str">
        <x:v>Red</x:v>
      </x:c>
      <x:c r="D116" s="104" t="str">
        <x:v>Red</x:v>
      </x:c>
      <x:c r="F116" t="str">
        <x:v>U:Red</x:v>
      </x:c>
      <x:c r="G116" t="str">
        <x:v>Red</x:v>
      </x:c>
    </x:row>
    <x:row r="119">
      <x:c r="A119" t="str">
        <x:v>FIRST.Org owns the CVSS standard. This workbook implements CVSS v4.0 scoring behavior with attribution to FIRST and the official reference implementation.</x:v>
      </x:c>
    </x:row>
    <x:row r="121">
      <x:c r="A121" s="3" t="str">
        <x:v>Official references</x:v>
      </x:c>
      <x:c r="B121" s="3"/>
      <x:c r="C121" s="3"/>
      <x:c r="D121" s="3"/>
    </x:row>
    <x:row r="122">
      <x:c r="A122" t="str">
        <x:v>Calculator</x:v>
      </x:c>
      <x:c r="B122" t="str">
        <x:v>https://www.first.org/cvss/calculator/4.0</x:v>
      </x:c>
      <x:c r="C122"/>
      <x:c r="D122"/>
    </x:row>
    <x:row r="123">
      <x:c r="A123" t="str">
        <x:v>Specification</x:v>
      </x:c>
      <x:c r="B123" t="str">
        <x:v>https://www.first.org/cvss/v4.0/specification-document</x:v>
      </x:c>
      <x:c r="C123"/>
      <x:c r="D123"/>
    </x:row>
    <x:row r="124" ht="24" customHeight="1">
      <x:c r="A124" s="102" t="str">
        <x:v>Code License</x:v>
      </x:c>
      <x:c r="B124" s="102" t="str">
        <x:v>BSD-2-Clause (reference calculator implementation)</x:v>
      </x:c>
      <x:c r="C124" s="102"/>
      <x:c r="D124" s="102"/>
    </x:row>
    <x:row r="125" ht="24" customHeight="1">
      <x:c r="A125" s="102" t="str">
        <x:v>License URL</x:v>
      </x:c>
      <x:c r="B125" s="102" t="str">
        <x:v>https://github.com/FIRSTdotorg/cvss-v4-calculator/blob/main/LICENSE</x:v>
      </x:c>
      <x:c r="C125" s="102"/>
      <x:c r="D125" s="102"/>
    </x:row>
  </x:sheetData>
  <x:mergeCells>
    <x:mergeCell ref="A119:D119"/>
  </x:mergeCells>
  <x:pageMargins left="0.7" right="0.7" top="0.75" bottom="0.75" header="0.3" footer="0.3"/>
  <x:tableParts count="1">
    <x:tablePart xmlns:r="http://schemas.openxmlformats.org/officeDocument/2006/relationships" r:id="R1be0244285c1409d"/>
  </x:tableParts>
</x:worksheet>
</file>